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D:\Data Analytics\Excel\"/>
    </mc:Choice>
  </mc:AlternateContent>
  <xr:revisionPtr revIDLastSave="0" documentId="13_ncr:1_{78C3326D-FCA8-4941-A2A9-60F853561BAB}" xr6:coauthVersionLast="47" xr6:coauthVersionMax="47" xr10:uidLastSave="{00000000-0000-0000-0000-000000000000}"/>
  <bookViews>
    <workbookView xWindow="-120" yWindow="-120" windowWidth="24240" windowHeight="13020" activeTab="3" xr2:uid="{2441546F-0E30-42C6-A918-FFE81DA238D1}"/>
  </bookViews>
  <sheets>
    <sheet name="Detail1" sheetId="8" r:id="rId1"/>
    <sheet name="Detail2" sheetId="9" r:id="rId2"/>
    <sheet name="Pivot Table" sheetId="2" r:id="rId3"/>
    <sheet name="Dashboard" sheetId="7" r:id="rId4"/>
    <sheet name="Employee Performance Data" sheetId="1" r:id="rId5"/>
  </sheets>
  <definedNames>
    <definedName name="_xlnm._FilterDatabase" localSheetId="4" hidden="1">'Employee Performance Data'!$A$1:$R$90</definedName>
    <definedName name="_xlchart.v5.0" hidden="1">'Pivot Table'!$K$18</definedName>
    <definedName name="_xlchart.v5.1" hidden="1">'Pivot Table'!$K$19:$K$22</definedName>
    <definedName name="_xlchart.v5.2" hidden="1">'Pivot Table'!$L$18</definedName>
    <definedName name="_xlchart.v5.3" hidden="1">'Pivot Table'!$L$19:$L$22</definedName>
    <definedName name="Slicer_Department">#N/A</definedName>
    <definedName name="Slicer_Performance_Status">#N/A</definedName>
    <definedName name="Slicer_Region">#N/A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2" l="1"/>
  <c r="B9" i="2"/>
  <c r="B8" i="2"/>
  <c r="B6" i="2"/>
  <c r="B5" i="2"/>
</calcChain>
</file>

<file path=xl/sharedStrings.xml><?xml version="1.0" encoding="utf-8"?>
<sst xmlns="http://schemas.openxmlformats.org/spreadsheetml/2006/main" count="947" uniqueCount="99">
  <si>
    <t>Date</t>
  </si>
  <si>
    <t>Month</t>
  </si>
  <si>
    <t>Emp ID</t>
  </si>
  <si>
    <t>Employee Name</t>
  </si>
  <si>
    <t>Department</t>
  </si>
  <si>
    <t>Region</t>
  </si>
  <si>
    <t>Working Days</t>
  </si>
  <si>
    <t>Attendance Status</t>
  </si>
  <si>
    <t>Target Tasks</t>
  </si>
  <si>
    <t>Completed Tasks</t>
  </si>
  <si>
    <t>Pending Tasks</t>
  </si>
  <si>
    <t>Target Hours</t>
  </si>
  <si>
    <t>Actual Hours</t>
  </si>
  <si>
    <t>Overtime Hours</t>
  </si>
  <si>
    <t>Productivity %</t>
  </si>
  <si>
    <t>Quality Score %</t>
  </si>
  <si>
    <t>Achievement %</t>
  </si>
  <si>
    <t>Performance Status</t>
  </si>
  <si>
    <t>Jan</t>
  </si>
  <si>
    <t>EMP001</t>
  </si>
  <si>
    <t>James Smith</t>
  </si>
  <si>
    <t>Sales</t>
  </si>
  <si>
    <t>California</t>
  </si>
  <si>
    <t>Present</t>
  </si>
  <si>
    <t>High Performer</t>
  </si>
  <si>
    <t>EMP002</t>
  </si>
  <si>
    <t>Mary Johnson</t>
  </si>
  <si>
    <t>Texas</t>
  </si>
  <si>
    <t>Leave</t>
  </si>
  <si>
    <t>EMP003</t>
  </si>
  <si>
    <t>Robert Williams</t>
  </si>
  <si>
    <t>Marketing</t>
  </si>
  <si>
    <t>Florida</t>
  </si>
  <si>
    <t>EMP004</t>
  </si>
  <si>
    <t>Jennifer Brown</t>
  </si>
  <si>
    <t>EMP005</t>
  </si>
  <si>
    <t>Michael Jones</t>
  </si>
  <si>
    <t>Finance</t>
  </si>
  <si>
    <t>New York</t>
  </si>
  <si>
    <t>EMP006</t>
  </si>
  <si>
    <t>Linda Garcia</t>
  </si>
  <si>
    <t>EMP007</t>
  </si>
  <si>
    <t>David Miller</t>
  </si>
  <si>
    <t>HR</t>
  </si>
  <si>
    <t>EMP008</t>
  </si>
  <si>
    <t>Sarah Davis</t>
  </si>
  <si>
    <t>Work From Home</t>
  </si>
  <si>
    <t>EMP009</t>
  </si>
  <si>
    <t>John Rodriguez</t>
  </si>
  <si>
    <t>Operations</t>
  </si>
  <si>
    <t>On Track</t>
  </si>
  <si>
    <t>EMP010</t>
  </si>
  <si>
    <t>Emily Martinez</t>
  </si>
  <si>
    <t>EMP012</t>
  </si>
  <si>
    <t>Jessica Lopez</t>
  </si>
  <si>
    <t>IT</t>
  </si>
  <si>
    <t>EMP013</t>
  </si>
  <si>
    <t>Christopher Wilson</t>
  </si>
  <si>
    <t>EMP014</t>
  </si>
  <si>
    <t>Amanda Anderson</t>
  </si>
  <si>
    <t>EMP015</t>
  </si>
  <si>
    <t>Matthew Taylor</t>
  </si>
  <si>
    <t>EMP016</t>
  </si>
  <si>
    <t>Ashley Thomas</t>
  </si>
  <si>
    <t>Feb</t>
  </si>
  <si>
    <t>EMP017</t>
  </si>
  <si>
    <t>Andrew Moore</t>
  </si>
  <si>
    <t>EMP018</t>
  </si>
  <si>
    <t>Olivia Jackson</t>
  </si>
  <si>
    <t>EMP020</t>
  </si>
  <si>
    <t>Sophia Lee</t>
  </si>
  <si>
    <t>Mar</t>
  </si>
  <si>
    <t>EMP011</t>
  </si>
  <si>
    <t>Daniel Hernandez</t>
  </si>
  <si>
    <t>Needs Improvement</t>
  </si>
  <si>
    <t>Apr</t>
  </si>
  <si>
    <t>EMP019</t>
  </si>
  <si>
    <t>Joshua Martin</t>
  </si>
  <si>
    <t>May</t>
  </si>
  <si>
    <t>Jun</t>
  </si>
  <si>
    <t>Jul</t>
  </si>
  <si>
    <t>Grand Total</t>
  </si>
  <si>
    <t>Average of Achievement %</t>
  </si>
  <si>
    <t>Average of Productivity %</t>
  </si>
  <si>
    <t>Average of Quality Score %</t>
  </si>
  <si>
    <t>Sum of Completed Tasks</t>
  </si>
  <si>
    <t>Sum of Pending Tasks</t>
  </si>
  <si>
    <t>Count of Emp ID</t>
  </si>
  <si>
    <t>Attendence Status</t>
  </si>
  <si>
    <t>State</t>
  </si>
  <si>
    <t>KPI</t>
  </si>
  <si>
    <t>Value</t>
  </si>
  <si>
    <t>Total Employee</t>
  </si>
  <si>
    <t>Avg Productivity %</t>
  </si>
  <si>
    <t>Avg Achivement %</t>
  </si>
  <si>
    <t>Total Completed Task</t>
  </si>
  <si>
    <t>Avg Quality Score %</t>
  </si>
  <si>
    <t>Details for Average of Productivity % - Department: IT</t>
  </si>
  <si>
    <t>Details for Average of Productivity % - Department: 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</si>
</sst>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b/>
      <sz val="11"/>
      <color rgb="FFFFFFFF"/>
      <name val="Calibri"/>
    </font>
    <font>
      <b/>
      <sz val="11"/>
      <color rgb="FFFFFFFF"/>
      <name val="Calibri"/>
      <family val="2"/>
    </font>
    <font>
      <sz val="11"/>
      <color rgb="FF000000"/>
      <name val="Calibri"/>
      <family val="2"/>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1F4E78"/>
        <bgColor rgb="FF000000"/>
      </patternFill>
    </fill>
  </fills>
  <borders count="3">
    <border>
      <left/>
      <right/>
      <top/>
      <bottom/>
      <diagonal/>
    </border>
    <border>
      <left/>
      <right/>
      <top/>
      <bottom style="thin">
        <color rgb="FFD9E2F3"/>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15">
    <xf numFmtId="0" fontId="0" fillId="0" borderId="0" xfId="0"/>
    <xf numFmtId="15" fontId="3" fillId="0" borderId="1" xfId="0" applyNumberFormat="1" applyFont="1" applyBorder="1"/>
    <xf numFmtId="0" fontId="3" fillId="0" borderId="1" xfId="0" applyFont="1" applyBorder="1"/>
    <xf numFmtId="10" fontId="3" fillId="0" borderId="1" xfId="0" applyNumberFormat="1" applyFont="1" applyBorder="1"/>
    <xf numFmtId="0" fontId="3" fillId="0" borderId="0" xfId="0" applyFont="1"/>
    <xf numFmtId="10" fontId="3" fillId="0" borderId="0" xfId="0" applyNumberFormat="1" applyFont="1"/>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0" fillId="0" borderId="0" xfId="0" pivotButton="1"/>
    <xf numFmtId="0" fontId="0" fillId="0" borderId="0" xfId="0" applyAlignment="1">
      <alignment horizontal="left"/>
    </xf>
    <xf numFmtId="10" fontId="0" fillId="0" borderId="0" xfId="0" applyNumberFormat="1"/>
    <xf numFmtId="0" fontId="0" fillId="0" borderId="2" xfId="0" applyBorder="1"/>
    <xf numFmtId="164" fontId="0" fillId="0" borderId="2" xfId="1" applyNumberFormat="1" applyFont="1" applyBorder="1"/>
    <xf numFmtId="14" fontId="0" fillId="0" borderId="0" xfId="0" applyNumberFormat="1"/>
    <xf numFmtId="0" fontId="5" fillId="0" borderId="0" xfId="0" applyFont="1"/>
  </cellXfs>
  <cellStyles count="2">
    <cellStyle name="Normal" xfId="0" builtinId="0"/>
    <cellStyle name="Percent" xfId="1" builtinId="5"/>
  </cellStyles>
  <dxfs count="23">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65" formatCode="dd\-mmm\-yy"/>
      <border diagonalUp="0" diagonalDown="0">
        <left/>
        <right/>
        <top/>
        <bottom style="thin">
          <color rgb="FFD9E2F3"/>
        </bottom>
        <vertical/>
        <horizontal/>
      </border>
    </dxf>
    <dxf>
      <border outline="0">
        <top style="thin">
          <color indexed="64"/>
        </top>
        <bottom style="thin">
          <color rgb="FFD9E2F3"/>
        </bottom>
      </border>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rgb="FFFFFFFF"/>
        <name val="Calibri"/>
        <scheme val="none"/>
      </font>
      <fill>
        <patternFill patternType="solid">
          <fgColor rgb="FF000000"/>
          <bgColor rgb="FF1F4E78"/>
        </patternFill>
      </fill>
      <alignment horizontal="left" vertical="center" textRotation="0" wrapText="1" indent="0" justifyLastLine="0" shrinkToFit="0" readingOrder="0"/>
      <border diagonalUp="0" diagonalDown="0" outline="0">
        <left style="thin">
          <color indexed="64"/>
        </left>
        <right style="thin">
          <color indexed="64"/>
        </right>
        <top/>
        <bottom/>
      </border>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Performance Data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AVG.ACHIVEMENT</a:t>
            </a:r>
            <a:r>
              <a:rPr lang="en-IN" b="1" baseline="0"/>
              <a:t>  BY DEPT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Table'!$D$4:$D$10</c:f>
              <c:strCache>
                <c:ptCount val="6"/>
                <c:pt idx="0">
                  <c:v>Finance</c:v>
                </c:pt>
                <c:pt idx="1">
                  <c:v>HR</c:v>
                </c:pt>
                <c:pt idx="2">
                  <c:v>IT</c:v>
                </c:pt>
                <c:pt idx="3">
                  <c:v>Marketing</c:v>
                </c:pt>
                <c:pt idx="4">
                  <c:v>Operations</c:v>
                </c:pt>
                <c:pt idx="5">
                  <c:v>Sales</c:v>
                </c:pt>
              </c:strCache>
            </c:strRef>
          </c:cat>
          <c:val>
            <c:numRef>
              <c:f>'Pivot Table'!$E$4:$E$10</c:f>
              <c:numCache>
                <c:formatCode>0.00%</c:formatCode>
                <c:ptCount val="6"/>
                <c:pt idx="0">
                  <c:v>0.92128571428571437</c:v>
                </c:pt>
                <c:pt idx="1">
                  <c:v>0.90971428571428581</c:v>
                </c:pt>
                <c:pt idx="2">
                  <c:v>0.90069230769230768</c:v>
                </c:pt>
                <c:pt idx="3">
                  <c:v>0.87405555555555559</c:v>
                </c:pt>
                <c:pt idx="4">
                  <c:v>0.89715384615384608</c:v>
                </c:pt>
                <c:pt idx="5">
                  <c:v>0.93629411764705872</c:v>
                </c:pt>
              </c:numCache>
            </c:numRef>
          </c:val>
          <c:extLst>
            <c:ext xmlns:c16="http://schemas.microsoft.com/office/drawing/2014/chart" uri="{C3380CC4-5D6E-409C-BE32-E72D297353CC}">
              <c16:uniqueId val="{00000000-B716-4AAF-9A72-A88CE81EE214}"/>
            </c:ext>
          </c:extLst>
        </c:ser>
        <c:dLbls>
          <c:showLegendKey val="0"/>
          <c:showVal val="0"/>
          <c:showCatName val="0"/>
          <c:showSerName val="0"/>
          <c:showPercent val="0"/>
          <c:showBubbleSize val="0"/>
        </c:dLbls>
        <c:gapWidth val="219"/>
        <c:overlap val="-27"/>
        <c:axId val="42585808"/>
        <c:axId val="182867312"/>
      </c:barChart>
      <c:catAx>
        <c:axId val="4258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67312"/>
        <c:crosses val="autoZero"/>
        <c:auto val="1"/>
        <c:lblAlgn val="ctr"/>
        <c:lblOffset val="100"/>
        <c:noMultiLvlLbl val="0"/>
      </c:catAx>
      <c:valAx>
        <c:axId val="182867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Performance Data Dashboard.xlsx]Pivot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AVG.PRODUCTIVITY</a:t>
            </a:r>
            <a:r>
              <a:rPr lang="en-US" b="1" baseline="0"/>
              <a:t> BY DEPT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a:outerShdw blurRad="50800" dist="38100" dir="2700000" algn="tl" rotWithShape="0">
              <a:prstClr val="black">
                <a:alpha val="40000"/>
              </a:prstClr>
            </a:outerShdw>
          </a:effectLst>
        </c:spPr>
      </c:pivotFmt>
      <c:pivotFmt>
        <c:idx val="10"/>
        <c:spPr>
          <a:solidFill>
            <a:schemeClr val="accent1"/>
          </a:solidFill>
          <a:ln w="19050">
            <a:noFill/>
          </a:ln>
          <a:effectLst>
            <a:outerShdw blurRad="50800" dist="38100" dir="2700000" algn="tl" rotWithShape="0">
              <a:prstClr val="black">
                <a:alpha val="40000"/>
              </a:prstClr>
            </a:outerShdw>
          </a:effectLst>
        </c:spPr>
      </c:pivotFmt>
      <c:pivotFmt>
        <c:idx val="11"/>
        <c:spPr>
          <a:solidFill>
            <a:schemeClr val="accent1"/>
          </a:solidFill>
          <a:ln w="19050">
            <a:noFill/>
          </a:ln>
          <a:effectLst>
            <a:outerShdw blurRad="50800" dist="38100" dir="2700000" algn="tl" rotWithShape="0">
              <a:prstClr val="black">
                <a:alpha val="40000"/>
              </a:prstClr>
            </a:outerShdw>
          </a:effectLst>
        </c:spPr>
      </c:pivotFmt>
      <c:pivotFmt>
        <c:idx val="12"/>
        <c:spPr>
          <a:solidFill>
            <a:schemeClr val="accent1"/>
          </a:solidFill>
          <a:ln w="19050">
            <a:noFill/>
          </a:ln>
          <a:effectLst>
            <a:outerShdw blurRad="50800" dist="38100" dir="2700000" algn="tl" rotWithShape="0">
              <a:prstClr val="black">
                <a:alpha val="40000"/>
              </a:prstClr>
            </a:outerShdw>
          </a:effectLst>
        </c:spPr>
      </c:pivotFmt>
      <c:pivotFmt>
        <c:idx val="13"/>
        <c:spPr>
          <a:solidFill>
            <a:schemeClr val="accent1"/>
          </a:solidFill>
          <a:ln w="19050">
            <a:noFill/>
          </a:ln>
          <a:effectLst>
            <a:outerShdw blurRad="50800" dist="38100" dir="2700000" algn="tl" rotWithShape="0">
              <a:prstClr val="black">
                <a:alpha val="40000"/>
              </a:prstClr>
            </a:outerShdw>
          </a:effectLst>
        </c:spPr>
      </c:pivotFmt>
      <c:pivotFmt>
        <c:idx val="14"/>
        <c:spPr>
          <a:solidFill>
            <a:schemeClr val="accent1"/>
          </a:solidFill>
          <a:ln w="19050">
            <a:noFill/>
          </a:ln>
          <a:effectLst>
            <a:outerShdw blurRad="50800" dist="38100" dir="2700000" algn="tl" rotWithShape="0">
              <a:prstClr val="black">
                <a:alpha val="40000"/>
              </a:prstClr>
            </a:outerShdw>
          </a:effectLst>
        </c:spPr>
      </c:pivotFmt>
    </c:pivotFmts>
    <c:plotArea>
      <c:layout/>
      <c:doughnutChart>
        <c:varyColors val="1"/>
        <c:ser>
          <c:idx val="0"/>
          <c:order val="0"/>
          <c:tx>
            <c:strRef>
              <c:f>'Pivot Table'!$H$3</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227-463E-A69E-EC0F380E2268}"/>
              </c:ext>
            </c:extLst>
          </c:dPt>
          <c:dPt>
            <c:idx val="1"/>
            <c:bubble3D val="0"/>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227-463E-A69E-EC0F380E2268}"/>
              </c:ext>
            </c:extLst>
          </c:dPt>
          <c:dPt>
            <c:idx val="2"/>
            <c:bubble3D val="0"/>
            <c:spPr>
              <a:solidFill>
                <a:schemeClr val="accent3"/>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7227-463E-A69E-EC0F380E2268}"/>
              </c:ext>
            </c:extLst>
          </c:dPt>
          <c:dPt>
            <c:idx val="3"/>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7227-463E-A69E-EC0F380E2268}"/>
              </c:ext>
            </c:extLst>
          </c:dPt>
          <c:dPt>
            <c:idx val="4"/>
            <c:bubble3D val="0"/>
            <c:spPr>
              <a:solidFill>
                <a:schemeClr val="accent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7227-463E-A69E-EC0F380E2268}"/>
              </c:ext>
            </c:extLst>
          </c:dPt>
          <c:dPt>
            <c:idx val="5"/>
            <c:bubble3D val="0"/>
            <c:spPr>
              <a:solidFill>
                <a:schemeClr val="accent6"/>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7227-463E-A69E-EC0F380E22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Table'!$G$4:$G$10</c:f>
              <c:strCache>
                <c:ptCount val="6"/>
                <c:pt idx="0">
                  <c:v>Finance</c:v>
                </c:pt>
                <c:pt idx="1">
                  <c:v>HR</c:v>
                </c:pt>
                <c:pt idx="2">
                  <c:v>IT</c:v>
                </c:pt>
                <c:pt idx="3">
                  <c:v>Marketing</c:v>
                </c:pt>
                <c:pt idx="4">
                  <c:v>Operations</c:v>
                </c:pt>
                <c:pt idx="5">
                  <c:v>Sales</c:v>
                </c:pt>
              </c:strCache>
            </c:strRef>
          </c:cat>
          <c:val>
            <c:numRef>
              <c:f>'Pivot Table'!$H$4:$H$10</c:f>
              <c:numCache>
                <c:formatCode>0.00%</c:formatCode>
                <c:ptCount val="6"/>
                <c:pt idx="0">
                  <c:v>0.92964285714285733</c:v>
                </c:pt>
                <c:pt idx="1">
                  <c:v>0.91899999999999993</c:v>
                </c:pt>
                <c:pt idx="2">
                  <c:v>0.91823076923076929</c:v>
                </c:pt>
                <c:pt idx="3">
                  <c:v>0.89044444444444459</c:v>
                </c:pt>
                <c:pt idx="4">
                  <c:v>0.90399999999999991</c:v>
                </c:pt>
                <c:pt idx="5">
                  <c:v>0.95035294117647051</c:v>
                </c:pt>
              </c:numCache>
            </c:numRef>
          </c:val>
          <c:extLst>
            <c:ext xmlns:c16="http://schemas.microsoft.com/office/drawing/2014/chart" uri="{C3380CC4-5D6E-409C-BE32-E72D297353CC}">
              <c16:uniqueId val="{0000000C-7227-463E-A69E-EC0F380E226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Performance Data Dashboard.xlsx]Pivot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AVG.PRODUCTIVITY TREND</a:t>
            </a:r>
            <a:r>
              <a:rPr lang="en-US" b="1"/>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1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Table'!$E$12</c:f>
              <c:strCache>
                <c:ptCount val="1"/>
                <c:pt idx="0">
                  <c:v>Total</c:v>
                </c:pt>
              </c:strCache>
            </c:strRef>
          </c:tx>
          <c:spPr>
            <a:ln w="28575" cap="rnd">
              <a:solidFill>
                <a:schemeClr val="accent1"/>
              </a:solidFill>
              <a:round/>
            </a:ln>
            <a:effectLst/>
          </c:spPr>
          <c:marker>
            <c:symbol val="square"/>
            <c:size val="1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Table'!$D$13:$D$20</c:f>
              <c:strCache>
                <c:ptCount val="7"/>
                <c:pt idx="0">
                  <c:v>Jan</c:v>
                </c:pt>
                <c:pt idx="1">
                  <c:v>Feb</c:v>
                </c:pt>
                <c:pt idx="2">
                  <c:v>Mar</c:v>
                </c:pt>
                <c:pt idx="3">
                  <c:v>Apr</c:v>
                </c:pt>
                <c:pt idx="4">
                  <c:v>May</c:v>
                </c:pt>
                <c:pt idx="5">
                  <c:v>Jun</c:v>
                </c:pt>
                <c:pt idx="6">
                  <c:v>Jul</c:v>
                </c:pt>
              </c:strCache>
            </c:strRef>
          </c:cat>
          <c:val>
            <c:numRef>
              <c:f>'Pivot Table'!$E$13:$E$20</c:f>
              <c:numCache>
                <c:formatCode>0.00%</c:formatCode>
                <c:ptCount val="7"/>
                <c:pt idx="0">
                  <c:v>0.96260000000000001</c:v>
                </c:pt>
                <c:pt idx="1">
                  <c:v>0.94374999999999998</c:v>
                </c:pt>
                <c:pt idx="2">
                  <c:v>0.85171428571428598</c:v>
                </c:pt>
                <c:pt idx="3">
                  <c:v>0.93092307692307696</c:v>
                </c:pt>
                <c:pt idx="4">
                  <c:v>0.91907142857142865</c:v>
                </c:pt>
                <c:pt idx="5">
                  <c:v>0.91184615384615375</c:v>
                </c:pt>
                <c:pt idx="6">
                  <c:v>0.90537500000000004</c:v>
                </c:pt>
              </c:numCache>
            </c:numRef>
          </c:val>
          <c:smooth val="0"/>
          <c:extLst>
            <c:ext xmlns:c16="http://schemas.microsoft.com/office/drawing/2014/chart" uri="{C3380CC4-5D6E-409C-BE32-E72D297353CC}">
              <c16:uniqueId val="{00000000-64FA-48E0-8033-B152984D859B}"/>
            </c:ext>
          </c:extLst>
        </c:ser>
        <c:dLbls>
          <c:showLegendKey val="0"/>
          <c:showVal val="0"/>
          <c:showCatName val="0"/>
          <c:showSerName val="0"/>
          <c:showPercent val="0"/>
          <c:showBubbleSize val="0"/>
        </c:dLbls>
        <c:marker val="1"/>
        <c:smooth val="0"/>
        <c:axId val="355304544"/>
        <c:axId val="182928272"/>
      </c:lineChart>
      <c:catAx>
        <c:axId val="35530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28272"/>
        <c:crosses val="autoZero"/>
        <c:auto val="1"/>
        <c:lblAlgn val="ctr"/>
        <c:lblOffset val="100"/>
        <c:noMultiLvlLbl val="0"/>
      </c:catAx>
      <c:valAx>
        <c:axId val="1829282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30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Performance Data Dashboard.xlsx]Pivot Table!PivotTable7</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5988860829557"/>
          <c:y val="0.23606218391556749"/>
          <c:w val="0.86678561853530289"/>
          <c:h val="0.67789666551372774"/>
        </c:manualLayout>
      </c:layout>
      <c:barChart>
        <c:barDir val="col"/>
        <c:grouping val="stacked"/>
        <c:varyColors val="0"/>
        <c:ser>
          <c:idx val="0"/>
          <c:order val="0"/>
          <c:tx>
            <c:strRef>
              <c:f>'Pivot Table'!$H$12</c:f>
              <c:strCache>
                <c:ptCount val="1"/>
                <c:pt idx="0">
                  <c:v>Sum of Completed Tasks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Table'!$G$13:$G$20</c:f>
              <c:strCache>
                <c:ptCount val="7"/>
                <c:pt idx="0">
                  <c:v>Jan</c:v>
                </c:pt>
                <c:pt idx="1">
                  <c:v>Feb</c:v>
                </c:pt>
                <c:pt idx="2">
                  <c:v>Mar</c:v>
                </c:pt>
                <c:pt idx="3">
                  <c:v>Apr</c:v>
                </c:pt>
                <c:pt idx="4">
                  <c:v>May</c:v>
                </c:pt>
                <c:pt idx="5">
                  <c:v>Jun</c:v>
                </c:pt>
                <c:pt idx="6">
                  <c:v>Jul</c:v>
                </c:pt>
              </c:strCache>
            </c:strRef>
          </c:cat>
          <c:val>
            <c:numRef>
              <c:f>'Pivot Table'!$H$13:$H$20</c:f>
              <c:numCache>
                <c:formatCode>General</c:formatCode>
                <c:ptCount val="7"/>
                <c:pt idx="0">
                  <c:v>209</c:v>
                </c:pt>
                <c:pt idx="1">
                  <c:v>173</c:v>
                </c:pt>
                <c:pt idx="2">
                  <c:v>175</c:v>
                </c:pt>
                <c:pt idx="3">
                  <c:v>154</c:v>
                </c:pt>
                <c:pt idx="4">
                  <c:v>179</c:v>
                </c:pt>
                <c:pt idx="5">
                  <c:v>178</c:v>
                </c:pt>
                <c:pt idx="6">
                  <c:v>109</c:v>
                </c:pt>
              </c:numCache>
            </c:numRef>
          </c:val>
          <c:extLst>
            <c:ext xmlns:c16="http://schemas.microsoft.com/office/drawing/2014/chart" uri="{C3380CC4-5D6E-409C-BE32-E72D297353CC}">
              <c16:uniqueId val="{00000000-A403-4E10-ADBE-BDFC04752A85}"/>
            </c:ext>
          </c:extLst>
        </c:ser>
        <c:ser>
          <c:idx val="1"/>
          <c:order val="1"/>
          <c:tx>
            <c:strRef>
              <c:f>'Pivot Table'!$I$12</c:f>
              <c:strCache>
                <c:ptCount val="1"/>
                <c:pt idx="0">
                  <c:v>Sum of Pending Tasks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Table'!$G$13:$G$20</c:f>
              <c:strCache>
                <c:ptCount val="7"/>
                <c:pt idx="0">
                  <c:v>Jan</c:v>
                </c:pt>
                <c:pt idx="1">
                  <c:v>Feb</c:v>
                </c:pt>
                <c:pt idx="2">
                  <c:v>Mar</c:v>
                </c:pt>
                <c:pt idx="3">
                  <c:v>Apr</c:v>
                </c:pt>
                <c:pt idx="4">
                  <c:v>May</c:v>
                </c:pt>
                <c:pt idx="5">
                  <c:v>Jun</c:v>
                </c:pt>
                <c:pt idx="6">
                  <c:v>Jul</c:v>
                </c:pt>
              </c:strCache>
            </c:strRef>
          </c:cat>
          <c:val>
            <c:numRef>
              <c:f>'Pivot Table'!$I$13:$I$20</c:f>
              <c:numCache>
                <c:formatCode>General</c:formatCode>
                <c:ptCount val="7"/>
                <c:pt idx="0">
                  <c:v>133</c:v>
                </c:pt>
                <c:pt idx="1">
                  <c:v>79</c:v>
                </c:pt>
                <c:pt idx="2">
                  <c:v>69</c:v>
                </c:pt>
                <c:pt idx="3">
                  <c:v>80</c:v>
                </c:pt>
                <c:pt idx="4">
                  <c:v>62</c:v>
                </c:pt>
                <c:pt idx="5">
                  <c:v>65</c:v>
                </c:pt>
                <c:pt idx="6">
                  <c:v>40</c:v>
                </c:pt>
              </c:numCache>
            </c:numRef>
          </c:val>
          <c:extLst>
            <c:ext xmlns:c16="http://schemas.microsoft.com/office/drawing/2014/chart" uri="{C3380CC4-5D6E-409C-BE32-E72D297353CC}">
              <c16:uniqueId val="{00000001-A403-4E10-ADBE-BDFC04752A85}"/>
            </c:ext>
          </c:extLst>
        </c:ser>
        <c:dLbls>
          <c:dLblPos val="ctr"/>
          <c:showLegendKey val="0"/>
          <c:showVal val="1"/>
          <c:showCatName val="0"/>
          <c:showSerName val="0"/>
          <c:showPercent val="0"/>
          <c:showBubbleSize val="0"/>
        </c:dLbls>
        <c:gapWidth val="79"/>
        <c:overlap val="100"/>
        <c:axId val="353121696"/>
        <c:axId val="182884112"/>
      </c:barChart>
      <c:catAx>
        <c:axId val="353121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2884112"/>
        <c:crosses val="autoZero"/>
        <c:auto val="1"/>
        <c:lblAlgn val="ctr"/>
        <c:lblOffset val="100"/>
        <c:noMultiLvlLbl val="0"/>
      </c:catAx>
      <c:valAx>
        <c:axId val="182884112"/>
        <c:scaling>
          <c:orientation val="minMax"/>
        </c:scaling>
        <c:delete val="1"/>
        <c:axPos val="l"/>
        <c:numFmt formatCode="General" sourceLinked="1"/>
        <c:majorTickMark val="none"/>
        <c:minorTickMark val="none"/>
        <c:tickLblPos val="nextTo"/>
        <c:crossAx val="353121696"/>
        <c:crosses val="autoZero"/>
        <c:crossBetween val="between"/>
      </c:valAx>
      <c:spPr>
        <a:noFill/>
        <a:ln>
          <a:noFill/>
        </a:ln>
        <a:effectLst/>
      </c:spPr>
    </c:plotArea>
    <c:legend>
      <c:legendPos val="r"/>
      <c:layout>
        <c:manualLayout>
          <c:xMode val="edge"/>
          <c:yMode val="edge"/>
          <c:x val="0.65313764832047605"/>
          <c:y val="0.26248567395511019"/>
          <c:w val="0.32626829141730379"/>
          <c:h val="0.109366288689669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Performance Data Dashboard.xlsx]Pivot Table!PivotTable5</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5 EMPLOYEES BY ACHIEVEMENT</a:t>
            </a:r>
          </a:p>
        </c:rich>
      </c:tx>
      <c:layout>
        <c:manualLayout>
          <c:xMode val="edge"/>
          <c:yMode val="edge"/>
          <c:x val="0.30877777777777776"/>
          <c:y val="9.393017383438899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752624671916016"/>
          <c:y val="0.27006532858547216"/>
          <c:w val="0.5377167541557305"/>
          <c:h val="0.62014929363537075"/>
        </c:manualLayout>
      </c:layout>
      <c:barChart>
        <c:barDir val="bar"/>
        <c:grouping val="stacked"/>
        <c:varyColors val="0"/>
        <c:ser>
          <c:idx val="0"/>
          <c:order val="0"/>
          <c:tx>
            <c:strRef>
              <c:f>'Pivot Table'!$N$3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Table'!$M$4:$M$9</c:f>
              <c:strCache>
                <c:ptCount val="5"/>
                <c:pt idx="0">
                  <c:v>James Smith</c:v>
                </c:pt>
                <c:pt idx="1">
                  <c:v>Joshua Martin</c:v>
                </c:pt>
                <c:pt idx="2">
                  <c:v>Linda Garcia</c:v>
                </c:pt>
                <c:pt idx="3">
                  <c:v>Mary Johnson</c:v>
                </c:pt>
                <c:pt idx="4">
                  <c:v>Sarah Davis</c:v>
                </c:pt>
              </c:strCache>
            </c:strRef>
          </c:cat>
          <c:val>
            <c:numRef>
              <c:f>'Pivot Table'!$N$4:$N$9</c:f>
              <c:numCache>
                <c:formatCode>0.00%</c:formatCode>
                <c:ptCount val="5"/>
                <c:pt idx="0">
                  <c:v>0.96779999999999988</c:v>
                </c:pt>
                <c:pt idx="1">
                  <c:v>0.93299999999999994</c:v>
                </c:pt>
                <c:pt idx="2">
                  <c:v>0.97300000000000009</c:v>
                </c:pt>
                <c:pt idx="3">
                  <c:v>0.93099999999999983</c:v>
                </c:pt>
                <c:pt idx="4">
                  <c:v>0.93479999999999985</c:v>
                </c:pt>
              </c:numCache>
            </c:numRef>
          </c:val>
          <c:extLst>
            <c:ext xmlns:c16="http://schemas.microsoft.com/office/drawing/2014/chart" uri="{C3380CC4-5D6E-409C-BE32-E72D297353CC}">
              <c16:uniqueId val="{00000000-910C-47E5-88AB-80EA91F27791}"/>
            </c:ext>
          </c:extLst>
        </c:ser>
        <c:dLbls>
          <c:dLblPos val="ctr"/>
          <c:showLegendKey val="0"/>
          <c:showVal val="1"/>
          <c:showCatName val="0"/>
          <c:showSerName val="0"/>
          <c:showPercent val="0"/>
          <c:showBubbleSize val="0"/>
        </c:dLbls>
        <c:gapWidth val="79"/>
        <c:overlap val="100"/>
        <c:axId val="368319744"/>
        <c:axId val="182879312"/>
      </c:barChart>
      <c:catAx>
        <c:axId val="36831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2879312"/>
        <c:crosses val="autoZero"/>
        <c:auto val="1"/>
        <c:lblAlgn val="ctr"/>
        <c:lblOffset val="100"/>
        <c:noMultiLvlLbl val="0"/>
      </c:catAx>
      <c:valAx>
        <c:axId val="182879312"/>
        <c:scaling>
          <c:orientation val="minMax"/>
        </c:scaling>
        <c:delete val="1"/>
        <c:axPos val="b"/>
        <c:numFmt formatCode="0.00%" sourceLinked="1"/>
        <c:majorTickMark val="none"/>
        <c:minorTickMark val="none"/>
        <c:tickLblPos val="nextTo"/>
        <c:crossAx val="368319744"/>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AVG.ACHIVEMENT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AVG.ACHIVEMENT BY STATE</a:t>
          </a:r>
        </a:p>
      </cx:txPr>
    </cx:title>
    <cx:plotArea>
      <cx:plotAreaRegion>
        <cx:series layoutId="regionMap" uniqueId="{D8901DCA-7D25-4000-8DBA-ECC560D304B2}">
          <cx:tx>
            <cx:txData>
              <cx:f>_xlchart.v5.2</cx:f>
              <cx:v>Average of Quality Score %</cx:v>
            </cx:txData>
          </cx:tx>
          <cx:dataLabels/>
          <cx:dataId val="0"/>
          <cx:layoutPr>
            <cx:geography cultureLanguage="en-US" cultureRegion="IN" attribution="Powered by Bing">
              <cx:geoCache provider="{E9337A44-BEBE-4D9F-B70C-5C5E7DAFC167}">
                <cx:binary>1Hprc9TItuVfIfg8ovOdyhOnT8RIVWUbsAEbOMAXhTFupZ4ppd769XfJ5aaxu4+5HTMRM9fRQXWV
Hpm5n2uvvf95M//jpry99s/mqqy7f9zMvz63fd/845dfuht7W113L6rsxrvO/da/uHHVL+6337Kb
21+++espq9NfGKHilxt77fvb+fm//om3pbfutbu57jNXvxtu/XJ52w1l3z1x7S8vPbv+VmX1Lut6
n9309Nfn8XWZ/eZ8nV0/f3Zb91m/vF+a21+fP7jv+bNfHr/tTys/K7G5fviGZ7l+waRQylBD7v7o
82elq9P7ywGl5oWimmkqqLn7+33ti+sKz//39nS3o+tv3/xt1+FYd58Pn31wBlz638+f3bih7jfp
pRDkr88/1Fl/++3ZVX/d33bPn2Wdi483xG47yIeru5P/8lD+//rnox8gi0e//KCix4L72aWfbPFH
HT04zN/VkXkhCZdacH3UEX+oI2NeEBpyxY04qkg81NEjyf3nbf21mh49/uAk/3+q5YExwXEOpfPZ
t/+LXsPCF9JISdW9TxjzUCMheyFCzQUL+XeNHcV+9Jr/xob+WhffH3xwRJzw9f8If3mwayjm4nZ6
9tn54nd7/T+PZ4K9MNwwwTn7Lvkf45mWLxSuSEXvfUX9vvZRM/+dHf21av548sEpccjP/yN18/52
vkac/TFaPDjY3w1i9IVQPBQhpUfFPEo0CGIcSjNas2MQC39f+6iYn27nr7Vy/9iDnf/6/P2n/zcq
+c+p53uO3l331/u75P5D9nn66t3JAToePfqU6o5aPfv263MmFUM++Q4atpfcP3kU/Nvbuu6Wcrz+
AXf88ODtddf/+jzQ4oUyLKRahdqEIf7v+bPp9u5SSF5IagAkmGLKSE7Z82e187399Tm8FT+pkBDG
qeFcIo52btgucfNCU8mUpiHlRolQfAdXb125pK7+LpT778/qoXrrsrrvcCpFnj9rjvdtm5UIxwJB
QVPChKZU4XXPmpvrSyA43E7/V1nxbq0aspxKXRfLbqAuoztZTvyCJbMze8NyyuOqynx1mHrVmoh1
3p+J0FFyWFs/5bEtSWDitutLubNGqiDqinTYeXPTjH3yZlJqeVUtlOxENsw0WqtQ0qgKum6f00Xs
VlWyJgp4R4O9Xpemj5hNKNv73K4nAWXuo+8W/3LJW3tBQ0H2OljXDwkLeBaJUtu9N6TJ99ZV7VVa
+Lk+Ja1pwx2dib5ec67quKDO5pFTXE0RaUyxq4Y52Q22Ps30mt0C7aU30xpk5zOe+SQXlw87Exjx
2lZlkkdUd2SINDddGQ0yZXsXTPKtCdPy1chN/iZztj8fpy44oUm+xglJRBm5fpz34ZQUh1yn+RhL
CCWe52mIAq+6qKwqM0emSUg0lpJ/CD3ETANdYAlmyctapcO+1kqcMtame2YgeZEJ+nJaTfW2D7g6
9Gqt3pG1dG/zIfRvbBIKFo2kqF9KzZo4D9ckLiarD8ww0sc+rM5rTVOyX7SabOSLZs3jWpJ/U637
14MTnzqZ9le06+rwJPSJKXcsyNMmqoawOKn9wD/OZcEO+cDDk6pJ8zke1yQ5F67IdgsnRVy5ej2X
cuwutXJhvlcqkS95MJHfukDVe1HRSz2+rUxZ77pJtCciJW/FMGQu7hzjFzTohs90adIPvuLzm7HL
ZWwqtQ+6sI9lVQSRtn11wuu5fGlKn7w2TV6/k6QX54Vg/84moXaFI8VuUcNyqNs0uVoG2e5VIKvT
iVQxcbSPiyLPL5OhJW+GoNO7ZBbTWarcSZHzcF+JaYrtQNwuWV2VRWZ0yWluEnkYVFX8ZqbphiYm
ODghEhfZvqSXMPI06ua5PetWWkVrafiehnLaFZyJnarlOwdri6k2rxxJbFSFrdoFtvu0VpmM1lkH
B8sUjeQSYpedlXE6pElEB5q9LEcbfBJap2dNadtLWTbN+SKkeanDrt3lgV32ns5jXApvL/jYwm5g
tlM0q4WdNItNoqG22S4nIiniRg1yH1I5Xy5TL6MxzYRLT5SolpR+CJNyzg6doRNvIklXoYZdPtnU
hpeTmkvVxEtgwuGKsUJOV7JTRIpItoWlH6mALeyJzLNXyhP9rg9tYv89i7Xqo4HmJT/UxgVZVKps
wfpjdmHChf3b8MaRqMypH2OfcOv3grpAfpoNr/OzyTHbRKVbc5wmJ6uoT7wL/Hg1ZpmYrvoiG2QT
pWmQ84uCkzH/XBS9X+vdOha1XiMrOxYvjTLrbuzYjMg2ZGn6uaJZWsa5pRn0E7gK5jm5heznZaWp
jWg24/jhtOh0V+Z1GO7bivdFerr0ofg8uHrqb3RhaKE+Q0ZmGKNy6N3LrK+5nKM6KXqOD5UUZzlx
MqgjS4Y+eV8Xg1pi0nKmYtZ7lsCx6Lz/sXJ7ENxvXLP4LLX3xfP3r/967yr8d1fK/fHjVnv/8e38
96L9ybtObt2W5rrHN22Z+vu7/igat+z4vYJ8lG+PZf5/SMZPXnyQqR/UV79joLuEK5Cz/nOeflSm
/ZDht+fu07RSL4zmXEmNetFQQQB/j2kaNT7SNDMkNFyCEQiBv+6ztKYvuBQaBSbSOpPfUzQNgbUZ
cruh4AcMSIK/k6I5UMcPGXpbkTJiFOVMK8MBIR5laJr7mk6FvA1p0g9mzxrRBGVMmjFbP0o5NMW1
CLzsEPCWDvm0Z7O0cxy4hHxNay/qIHZsLvRLY+Uy7AoT1O3pZKqyOy9l1QRL5IpZNl9l0eez2wVK
lTmPU60FvdWzW4bL0s66vA5D2SQ3vOKtukhV1jY8gjd12IpopK/eWEr6qd6lpURmidwkq+o11UuL
LadVRZdXrIJj/xZ0o8MzP6j0L3CMfiQjQ1DbAFoIs1E2jDxCMZpW2WCVDW+TydV5e9pXohSnpRg7
r0/XLu2zKV6zBjxSSZKMJYenl9+g2gMdAZ5zjXDOQ2Ayis081BFQRoiIqLJvOS14kcW945LbyBgW
tPnBz1Pq+523fSpsFIhgbeq3k+ALQhQVq5r4y17Zuisi51ru6YWRYYtrT28SJvzjHjVBHSFCmNBW
421m+XCPs80CZj0PvimEUcJ26apT3R7KUPScRLXvlfpSSJL0Z0+v+0g327rCCM2YJMyE/PG6zbA4
7QIefksX2JwCQmnK7pMVCavTaMqzIXtTJ2Ae+8hax5iKnl4eUPnRsTWKKxEyI2TI4EMPj53KMQvI
bPm3QJe65bGciJLXcKSgP3NrpsuLLKCOnvOiXYaroiNktVFnsxJCeXoniAgPdwLYLkIpQ4Xagkn+
SAG9yki+FHVyk5i1lv7EtU2VLPsgqTqznCyhn6GVp5f88+FDHSqhZEgMAQ+2of8f0L3VNinzhfhv
Qk3w8sNC1UqLg/TT0Il9FiZCffEDpN5GndJafXFkGb3Zj5kjzfQTQ6CPIpkm0hABL4GjcoTT8NFu
UrPm0jR98NVmXlfB6dzbzSGq2VmwmsOUi1XEWdUtqAdmwzh2JTNih6uqUfkS1wH19ZWpbOXrXSud
Z5fVmNXd16dltsXTPyqirQriRAgiJNWI4Vw9iiXDlISetOv8dfa9hxGQoSAQFpknLoNo9nwMrhpW
tJvT9JPbPrImHf6usFCMaTADRJlQcIHQ9lB1Ycu6fumU+1qXABJBnCN6rVM0LqRf5CueSMT9Lh18
cV3lskZE9U3lqTwNgzwYi6i1iLZb5F8snqqztRxfibloXPWTsEIf2xgqWK40KtKQQcNKPcpPM5/q
xtQr/9olTAXVPu+7phzetmufNXU8tUuLzQW6GnHNLW3lll1YrEtwNTVNctYZX+ZpXK0rQZVo27pP
otoQlfTxIElQXqrKpGsVM25mhEQUJAutX5LVlHhrkSVT2/7ETSlK8gcGALAdGpTfhHKpwGc+ihiw
zLod67H5oqWTKEEaEkqYYpIMxviYrjpAaE8AEbfoWQ4C14a7cNLQJMSleeq5ag/DxH/u0OJxFGdA
GwaORCnjWyB5ZBbFXHRVYl3zpfHwonbPuyIU54xavrzi3bBAHCYZy/VjZedl0dFg/dTaGAF/Updp
uybBqa9Evn70wdCpizBTG0CYxViV5qQY5KYe13EDE1pGLcfLxufF+nEtVTEVESnLLWllkD4U5Gpj
8SMHVl0/htU8Q3dc5gs+upWkfbhrZMe7g9LDprtiTjMAjPZueVTPwTJFoZtzvMIBPGDnWVBv2KBv
UOxdz52q2+ZgRk/HK8Hd2r/2vkh8VJaVZ1UcpEk1n6YCyfVzHdaJ+DiSkcLIdJgCZ4xt7QBRno4N
j0M4pK+JBvfChVagbB6ZBk+WOqWmKb+g0ut8Gs2M6KaLJpe78owP7YRA8fSKj6MRAz9DGEXepgK5
+/GKnSednSo+febrsBnjNIgt/LFOFzA/NbZSfUlyvsIIJzb0XXquEVhgp09vY4OzD5yCa6WYRuKS
DFQRUPLDcLTycWgDo6qPlairnke9G2Rw61rbIhrZoqvp3ifaZW/HLkwRcRorXbpPw56NLgq1nsox
6lnaviqTUF3N3JfhEnUTVeNlHwYki1u5zu4VjIjYaKtXsyYSiaKbs1sCO3SjBbo4S/Ki3zx/FJK/
Ycj3zRLxwvN5PHn6xI/jWsiRoAA3cOqth4Sa4OGJC5XYemo7/WEcagIQK71nALHjutmtAMgSp5ZO
M8x2LgzHR9rfIdtANZtJ8yGfWHKVzGozadZma+VPs4bxLUS2a0fooS3HpstOVrkU8LpkqjZMTUED
wDs1beFGTx/poQ41/gRXgCAgG0ON8PEoUmdygYbTTH8rXLOZSDVi48i/hSkBQALHwW89veJD7Let
CDSshdkgGHo+W8X1I/4YwjrsiU3r2+q44pjJBgmTy9rDUzptxeDjfiRzwGKb5c3UHZ7eAHsUzEOA
vhBIAYEcRguO/dGZW15Xq8tr9iHsLUc46Zt0kzkINBTm96ELjZEF6kjsvEU1pIctivqmRW4NLEXl
Qme5/eTaoiuuS5NrcZpN5ab6dpmcukjaGXdllm9aXdJKdYci0J4fmtCPvIsXpEho+CdHeyhcML/I
AuilUUQHkC2AuA+F288F1eXglg88Hbfg3PsW3rSWa+ZuehIWrI6W3rXrR83qDRJUgaOwwVlVZbrs
10rRPj0YHgzTBwBzD3FMOudwOD6uCKB1Fhh4lZjKZgvoAzLFacagIhb3AGFYMOsTgm8oKylEUaUC
ouh7bQOwdeWQIwpY0Mf4dpTPFv2L66eF8NCkIQOF5giKCxmi0iZ/Qvd0AlG1qDZ4P1baISAeET2z
4TwWMYpp2N7PIuGjDLwtKThqGYJMTBSA4kOxk9wBNTezft8NFBbSL30PgwLcgXxE3ggn98kUuLmL
VMkXCLwckxooDXEeUpr8XPZvterCJD8kvQgR/xCDxkuPdh2SXhUg1vVzjdx8r7a0nWqIci7DGuEB
gWNTR1rMmyKCPKP4MEtuxkviKoedyKJAOi5Uv5XmT0tbGI7D/QCOcfgt7yEuUgw+/LmIBALugpTM
y3trF1UmUT8UvImTiST5hWKr8Mu+tV41YWQYMzlYZt9m7UtSDnyWUQOAF7zyaRWI86Symsft5Ob0
hmQlOZ2SYeNvde3KbyIvV39ZOVVh2mSl5fRGjJTM6y7MayObuAVk7obDNMlwvPCtRasiUhWp6GtO
PDW7uvaGxvncDz6J3By2ax7ZevRijtO5GOEM4+qnpYzmQOYiPxhGB3Glyn4RaUxmOkzDSWMmSxNA
1iTtz3qrAUZjvZbTuqKShyk2Z3OxJEPUdk2uDqPRKd/JKpjX95NyLPs4iDJNdlz0jMYLSnK3RCrt
O7MzGZuKOJVleooo3e9aR6b1VWJqQk7oRC07pGC8Ldk3havEh0WOaRF8MI7M8/u5n3l/HnR9HVwi
Serhm/RK+Q+rHtPaRY1z1HbvzLyWxUmSgdA5rE6ElYtM4TizsfZr14ZfaZWH9TfLGjfOO5jK0t6a
oZ8mEhfl1NH8tE/qVoY7lD6yVCdJFRTqwlAdFMXJqBrWlfbWhjXvIeWZ8tCL85W7ESa9Ut819h1X
pFdkX9eiafTZYJLMlq9rORfoZeRj2k/j60kmaZYdElFNg7xMasbbM5ULm4YH2IriRdSMK0GaKrsw
m0yUBkK1/c4mfs2XsyntApudTFmFBBsXZhIIsGMDVviTCwYluzMYxxQk8cSB1OjF0ABomqhfeDir
NyXTGh/98ccgy0pcIwZEho9X14n26zq0ho0vc+WblJ3SOQi0jpdcFoM+meucVmUkxbhBASKDDMdJ
uURSuZ6TRRET5xKdsPTNMjVTo9/mSZBP5UEXPGDNWTEsJhzfqJzLzEStMVshoX0vbfFRp0kSrK+E
KDtIKlhahOxzRO3WylcBT7wuX9OszWj5Ns+nPEz2U45AkO7RtePYO0LWtqVlDErC9iS1S9buSFPk
PtzVPQlk/YmlrMZ6VV4a82FIw7aNPUp/SJaFQ4YMElNlt5dg/0BpUduarYwRtsPp48bSGq2n3E6b
xHjZF/hwne2Dq7rSW8gXaIeEOjZT72AAaw2IddIbX+G+5nhU28sV4mvzDT8gl3QJVistRV1d02xT
D22EZfLftJw3OdfC5KDPgiHwUEVQF6EVt22LGq49+CwDuIynkC66jbPQyiGABsXQDh/7vB6yGvIK
7OpO7LAKOp+Hud62nEHTzXqlYFlYgeNS+zUJ5s3AlA82zcslwG+lqTbRjCNapxlSbNhO2MNYd1g2
vj+P95y3X8ExWvwm58apq0KKxPBYTAacV9RoSyGLe+tJ1s7glToPtsMl/XInjAFW4+N7WG/kKrdv
vJPFOSeZD67uRR0cb/9dyMf7QI6w4hw9vwoboHVgx69FpprMn2Q1X3Dolq0Y8otSxtOMXIFzSJ2J
5FFRbh17mBrIhsGnZzU1SyIjWthxUW9MNThIaWRVufUgG9CKPgazk4wmKsiy4fy0kgw/ljol7Vdz
lKBr4EGIa8czWZahLI0bV6uJni5DuBES5Kjao3mgX1JCPgr9YXxIXW6HRwvLwk5T6rdlrLAKPy6u
Jdp+QKtWDD16XZZv4j0a0josA3aJQ25voZnv8BzGxzisq+vttvWjQIMVPVQfu5I7ofcBkXWRn61M
6rk5SQlIPLKfssHBp02ebmRPN0G/2ahZ+5WqtIb5dBIgHYf3I/D9mw70/fZCNm4fYkxDfJQ12dyh
WuW2/3pQqZ0+DGVaptmhTkO817acpvy06BZN+1f8aCtZ3plen9yL3OSjx3bmjBd4CTKAw+J5kxXI
8yNtV0U+ALnl4bhr2qCvs5h0aYLFZW4xMLnrywZ0bgmOBKAbarLDmXbp5s4D8it+K5ZB5eGhAFic
l5dbg3t2p71wpKri0oiyGqOkS8GUYpBhwP22bzt8ADTK8qJqB/y7VBN4Q0kmCnasRfuivBiLHv08
QJ0cq1ObuvGjqpMZhU+yrJvtTwahPD/MvGWIMKG35RDuywopttrPQZ2Y7kwapKr5M1EzOviHtHSu
KE7vGfS8L63PD4MtUeLfLKLDhMNpg3EBRU74nc+0LiwhsC6ZimT9yG3opv5Dyyc7qdP+ePTZpB1E
xJt5LXCiIp06uVcroYhyvReb+OjcbFYDim4z8SNlHHbFBAnQgW3n7bOM4cPDwHF/m4H9DaKsXEGl
G8GK2kRgaRZVnfOGetyhFrqV7aMcOtjVkVdaqUQv+zDUrU/YWZq0K96xHtnGBFUViNJWigIVWkIL
VPtVhXKxjvsSXIx8VRVq86deTBn6DmkR9giVXCULcl63INLkB5S3m/CGjG/sCEMzH+2HvKxTPO6X
Eqf8PAGeJcHLKcFsB9qzPN94WTcg3Z3rIuGqfyfA3C3Jfk7yYLEHNTWy7HZga6gSkQbvpb6IFCMu
bYRkuBWVayBWnErV1ZY2Kpls5uaZpzC+oyTz3oF85xnJ+IipBlkl+l2xDlNw5QGmUR6uTWvUF8Rb
2FcwNSskkAuynSFp6gDBHxX1RsyVGfAqkLWp3NR8UWaxLf0q0LMuL5RqmyU5COa6Pvhtymg+J3tk
NF7KqCtB+QdxWFLtP4KEnYr+PUnbPE3jRC7czpeTBrZpv5kxG1v2uUtCsDEnvhjGysQBW7vi4yoG
Jhy63AoFR9RT6oAptZZmoAOsvMoNi0f8GOgx0hOacfPu/iRHXbZNDk48lpIv27Huwk1Zjlv8M0u6
RROg/815s67a7qjvGhZJzrbfJMXcDWJiumw3JhyETLUHWbG1c7IyaeDKKdBicrH2C232ORx180pT
bVfuTRaYEpHISPS30PW4awFs4TRIYz8vnuuIMk/Ct4PV6eSiidRoGIhlTQw7m9p68/I0WDcGtENr
DB8CsKw/a1cC+xYELZcLULXbzosMzdUv9wtJb5DSWphKcHWs2OosX3UR5XUziHfFMWAVR261DenG
vwdlu/GunVdeiF2VVq1LItuqIbgajqxCP6FxOb7MWLrBOCtmrKHHctvWcOdwgSuQR6JEYioBUIZt
ndVdPc2bTepkZUUWSdvVVbW3eQlvPBwFAup7C3pFiEljhHfMKeWvLOOlDn/C9T0q6EFfIT7AghmC
m6J/YtJtj7YJKHp2ZZ1T2LVO0xneMDmE2TYQmweVR8pmzNpt7z+p7h7WdtvyYIeUJMcR3sfUsh9m
zDV1GuzcMTTmoL2xC9QB8KSnl6IPx84E3IlgaBuLgabDv2qr639oTE1h0YYJsOS9kdxnjPyocW3Q
qENMVnYji4Ysh46d8AJKW4t1FVdB1c/+J1t6yCRIQmBGGH6BDDAIAHNnD3eUjJyBuM7Tq43MUl8y
STdY3nWYZ96vDgj6Z+L+84KY6AR/oMJtAlCaR4xqYT2hZUWSy3aukS/SAon/TC8Fot29g/8tmW8n
BGtNpKYsZBSNuEcLzmUu0rov1eV94JjsurUrFsUXKQ+z6MLxkDfJ6t8NE19yDMnVW1jnHhEi6FaB
tPSTHT00eOwIFVVokMO0kQJM3SOKdTEkmPTC28vy6FsT4B1cfR6KBOE9C8cMKgBHuMBBDUeOAMII
7LaRvOHtsMZjiwL/ICvuJIlmRJglRsRvcTuYzYReZAtHWRlPx05ec4y2Tx/isRqhOEE4kegVUUrD
x/1lpN+2Z3MwXtiu2ALUeoeHmk7Ww7slCAeBEfXv0ytvj1zLjyObf7WeJFDk9qfU3UDnD56jZ4AS
FpLh4j77zalt84hgBk+6yHdZ+rcYNkm2QdMQBCPiNxwW6fyhX/ApAQc/ZvnFMTsBK2/awJwi/KLu
2i1vPH3A7YV/UEygaQ0ab5hpwzgOGtb4/nDBaVnnzK+yONV14AsZ66rS/IvycJifueCfl4LqQIVj
7BUFP4YpHy5VJaxahlSlp0dEMkqQJLAjhqGvnzX/74dQfjgYKEMsZTAaRDhCSPi4UUoIOlI6s92J
Xxmx3Z7JeZvDGIhgg/utW2u08mPXpaBYTVQlK4rGqMdEJq1eIWljPjiNXdGAAHrNBCgI8rZKZJq6
0wUQQbqLZM4KOi9xwtBs+9y1bYVqyOdM1O2+KoeV9Zh/JKqrdqGXYNxe85k6rt6aYyezUKhJ+Juk
rmg7nxepHQ2GhYZRZRTUSI4hlVPUGzqrdmWQN1DFPU7RAR6zUXFEFwDqIXKGugtjx4qjmAji92Qr
hviNCnFDA9PIAuBax0KUCzUbcAOQlhr0BXoQG6YLjhCnQVsY3k6akK5ZVHR9Rdeo7ryps51qdJkP
0e/MR4vsaaN7PHMHpNBTnCDftQ23XK7bEQQTSoxCsX0TOixZFSguxpcEfZosjcu56lBWgdYv8/ID
B/o1/EItvRHNWa5IsHEC3ehBty7HcsxMS8fbnS2GCuwriBiNZkOU2z50SRwMLsXIadSiDSPZW4zv
Nnrap60Ssn0vFzOu7j3aDlsvD1CQMHXh+g69hPdZA9I53aGXg0GKg/UtpXlcUWDP3xZUoF34Uqp5
Yl8wx4mhxAuwZ0nzrjYmL9g+r7uAoCBG4Jgx8NtbTBHsa7dAt7tpZqtfIhKAoBhjIDQqw3gRSzK9
LkzXd2uERvyUbQOkoUdHOLOkOxGk7KevilTFYneJAO6uo0rXlf9Ug4AJhig8NhvvY1GLSYBUvQ4r
xO38UNtSsQFg+g5ugf/e4OJS91vSOZpGeQcKa10WqNy8wSxQE42eqIoikqVOYxusKFg0FcFo3iOI
u/CqqU1QHjA6m8rIpilmUZdM5rslm5KTTIz8NCN8Pav8PJ6C0HCX2isWz0baC531JQF1PPr3CYz6
VKTSdRG8z37NfVN+SknmdvVASB0l1osDal4wS6yWr8KGfHEF3LGeGvVaTVmz08JaaJcEHvPds9jn
LhverHnZkz3Aeb8PF8JLWKyqbmwzXDEMyb7yIkhfVWPX72UHJhojOOnp6AaDqfkpfKcb22Kiocm+
ZV2b7ErbpNEi6nonE9O+DFdWHZakRv+7biTmy4twqWOR1/ow4ZVnIcqyr352wwkmPpJvrSnKk2Km
5RotJpcHi3nUq0aAoo9KMDUd5u1d+mGa1/C6DGqJin6o3k8hy/aE9eSlIMZmkQsC/lqArTv4vqtv
u1wn78AhZpjU6rn5RtHxQVlDG3o5stxmh2b5L+LOrElqJNvzn0hmklzry5iNpIjInYQkaeBFBglI
cm2u3V2f/v4E1dMN9KXszjyMWVWZFSQRWtyPn/Pf6KyTM7Xzm2n1wB0oBdlk9HIjptHUid9uUZqH
cV5G76vVjc012ovlZXI96Zz6Rc1MO1VbmmQVfvQ1mv2wzazcGm/aGCFG5jmzfK1XUTMutf2tP83O
kOZR2X+y5aTudOjZt1PgHCs09w/2uFi3G01Xe2+H9XoNCG7dVLUo3Syi+n1xtk10yb5HTsn0rKwP
mxq2r4Nl6dStnP3TNMneRUuhEE7u+8TKLRvVJGjFxiVT+1brm2AphiKxHVU9GCekEDNZpesmGnHj
RXajbkY9jGdXLe6t37Q6AfB952/mxV7y/MFz2D7rtMwZCKNdJYVu1zDDeyBOXjh3D6r0xg9GaXoy
G2K/mJKlRv1Rp2FVoHy2FuF9gpPvE+E23aUHL0hcu51fa6erX0+lmeu0nufieSjN8H7UqnWTQS86
zZ1RyURyfXDNEdAbG0+Xe+rpaHuM3als0m5f5SfZqj2B62nfdX01JEqtzusYLuFauWOULqOd33hV
532aokDfSWD/FfbBW/jSfE7yxRoYTJfiLoisHum3U8efRoumJovoz2Tiy2l4DLYAd4Q7BEEaV3t4
NWPTeEShhKplK8dnt+/UZcUycpFqDT6NIn/eGJef96Hdo8ugPJPIoS2+Gh7IpZzDZTnRBpqneYz9
PBm9AeK2LubELtf1OohrdRnoQ52kCKf4Oe7m+LPQSryVY95/Xvd1/7qwwLM17N17D0nFxeakyAY9
zE/0l1bib916Z41T/XG3++4iGidHkwaq/FAa2+Ms01QkW1YRsJBfB1ch/Eyqpk5ean8Zn1G1Ca5/
dW8cuxNnGYjpA/Dc8Bh35XjlmCZ+attxvy0mOZx0SMllGm6rh86z55tx8bbHbsrHt2MUeS+iXikO
7mDWB8+0bB6grVeOmJdbPYbbdbVp0QPfRN0lD1ovY0pGWwr6EV/vFraJnPL2enej8jkCQfkw7NH8
lgO/uGKzhfe7Y82ot4Lq3OB7uIPoxpkyY9rIot10gvU+due9sPrHGiT+sdC9GlI0MfZ53OTwQc2L
VzBj7/vdGHvLLRKtGpCg7d8WAusKNbvVJxHW0ZUD9ZeuavdeRWshAOhH64uVu6jv7ozv7VWcmlbT
62bhArId3dW+WMP5ZGOcbOakwTtzt1mqeARsaR4sz3Tvmnn8xJ/BjjFXzruppYORSygfdCwRnvoK
R0XcK/fjYuXLljblZt8jclqeK3ddh0vpNsJL49IJbzF3jNE5ttsuvmnLSGXQud6erNDeWRTvbZjI
fY7XpBV599Bb0P63xhpCnnVgb/N4N8QrfI+jR2e77ryhfSW0Z70Ou7hSaaDHsj+VsRrfyKJa2xPM
rylv26ruq8waOx8taJ471iVcp2l/YyKcN+XlaD3sLB503/Q1T63fivqmZjQfG6wldC4YZJZ8vQc0
kVMqFqd4u4V7b9LeboI7hIq5k20OLeLtzDg+v/Mrpr+ROjKq2Q9onIoOQdXVOgfhje9qu5Nvd2Fy
d02MHux4uXEpdvZ15EEMXIbGdGNWrpO/PMVWUUu0R0UTj8lo5UVTp5YX66dKoBfCy+U1r3vjWPtl
C5gqUzscXPtui6XuUncEzr8PG8pphjRwz/APVTfSnasU8319M1tGT/JVYyx8HILH39m6zYBr2vrQ
pynXb1/NsyejGcuPxEcGzj717IcIljNdHOO2mEqWpryrS0japO1Ae9N91kOXiNbA/4SLrK+6yvP7
UwFfeF9XoKWZ1JW+EoXnRBkmvTIEGZOjc10Xo4KVXPzQJO4GCR7M7vxg+bEO01bm3pSEXi1A5IDu
3jnKGr+sMa2JGBVunL7PHXEq1tJd3JQWrrT6FIoeEd6GrSl4YyyvD2nMlshUTUolnfmB3rYqXb1Q
hIYoOJWqwZtTDI6OT3UbOnjflKt73793rDVYnuF0W9xKQ+R9Ktb1476XxXNRqo9FrHyZMCa0TxsS
j1Me5ePF5vCwKRLBCAsW7reNcZuHUVTLeS3HOFWD2lUSIlDF/9X67dPYNUE2joFJlqjyqK/r3L7M
Rb6fw76BzSt0fg/RGNmpo6dtyHYOG+8xnkrxFCKdGrNqBfFhPbBgEpSA2xenV/VrNXRThBIoLO6m
vuufFnyExWnRxZpfAx4XYWK1Or5uezlkbjc053rI/aeutp1TPJf9bZ371r1ba+/WVXCXfTHBYceM
RZnr5pg3l3C57Np1m8QOOYQzO16H6aScoH9AObnN12rc8iSeNlunQ13I1AumVSWx0+aoZ5GCLtdT
wM2dDFj3055jqM+hv4cL5qs1G9mUW7KbenzglOfwr4K6ySpJf8El5G84darzEsZBunSqfCerwvkI
AKfPaHfiS2/H7TlUoXy0pD2maxuU7+2ufW4kGriCwe0curn80G/u3Ce+6PsPws7Hm8UVuU7yUcso
rUDMbnLlctOFDdBdYQZj2BWvJGPJzbo51UtdivBjnRfO+9oR290KgZv5auivBcjxOzB4tz5qmlaJ
kPZwH+S5oG+lOB6L0Hvx6mMYNl17nNranT73a2RVJ8xc8KFgyn1w3fndYeEbKz1DOe09mGG4SScV
DXUkCaxK+veNmtzPZVnOdeI2XEMisW5Gac3npsBfrInSKP+6DRY3zOYSCetIr1UXN63q538oprYy
rZUQ9kcO3m1MYiva1itrroNsVtK6qgbffT7kA2cHB9iSVMZSr3xfy8/LGimOBybPc7/kiKL63Bd3
MHjjrcL11SRjQUtzp6dFfa7dWVfpBNa4JtXa6Jd5NuwVNiVz2qLAMr+skFdrAjG3njq5ihuwatx6
W6V3mnkEs189xLP5uQ3L+dYzzG+JRTsyZ00+WP7JGlrUzva++u/mqWk+hGrVaT2JKcNEO9gPyxY6
T5BsUYw4iB4uCeatbC4bTdUN1a/bTnoo8bIOOqb1RMxh9Q+i3BwrXfJDg2ha21enUa14KxCmsIhS
r2xL6dXruVgDGJW2TiVWuXw8HWPsmuZmqFx6atHl+/tuWrr6lds725QxVeQ1JS0O+l2lo7MUDSJB
25Wd9ypYRB4ltTNU4lODYNbq0tWKtMzP8Ga1tu/rsg/6OGXa1p5Klr1spyUNOXB9k5XQWBE2V3Ts
nsm61eRtfWui3BV2Oi06dtRjs4IOiUQjcI+X87iooXpfFDV+xWxjq8Cm4EMS3ZiseuiD+VzQq3XX
S7lY7bdpmPTqn0pkUG138gcot6fcdqFgLgq91Nxlo/EsW+KaVTXvwbNQTS0SDTdUwIrAn9v/2lpx
aPMcJ9mZLFal9t/7kE3l0w+w1lIH7zA38QGNuk6u1S3u/YPBRzZw0CHswz38Uni5rYMLivKd/TY4
U1x9WNRWWmXSYTLcLSbbXG4BRwTleH63lAAK0d1MQ6kfbBnbxkuXYlqG+rJDcvG2OPJkLz+LaOnW
Fp/2vJjuVizc3p4QF+O6U4r2RbT5k5h9VQWnAIluJW7sZRlMjxypmulxmB2K4axUJKnH1txnNWKk
exdNF627iqmYJq5ooiLvUs1ha4wChV1BUqsUZdXSbN6p6LRXNSe1IbyJwQ66Prrbaf2iU241QQ4Z
tuaxWhLHG2LvFJpdeBfov/adipbm2UJkg8+7x3aXeAt754TopP1idzVdFrr/cqxPfTDFZbaOyFV0
srsDHOSOr/e7v+Amror10UcXfAUOXN1hrBVp7QbLPZZy056UaNFsrTF8sLKaJxnrLbweaOHCRHTK
eInuthpH6WwjZtSR2jpsSWv9Re12XlNavTZPAs7RJZvFbt5MlbVpGgSrOdGBMiHmUvn+ZQy8uc3y
NtKfrT3XRiVOsQ3Om6iuaj8jJal7GW147GSSK6NBt1sr08gonfJEOzFOV0vp1+uXwtIH4kJH7XYQ
HGVxxqG25ta5XZwIjY47xB2mcq/vT56xpytn6sMPzdp4zpSGuVv0KYBi5TOhhmZ6aKPAXjLX9pf5
PQoI1BPJqBDbpUg7hpUGyXGRFwFuPRRM3m3iDfTh9xreTSebqMNTWAfNjVVMPSL+xcdWgsROtSg4
XLNMWdT5McyUNZcXHBu8mFAXViKQ2F0NqhlkugCYfd7RLbA28vj1Ytk997mrc+Ao/Wh42ZkX51F8
kkgsvlpomAAPpSruLMrw9JHhcitfh7Idj65LuNUVHUxwM3qhX32mRApzEasn3/SbyO9RSxZfihHL
OJ7dXaNayxeQkX2vdKIqe3uOtL88bmNTcgsY+CCJw7anmoYtNo3aj98ccQdhFst+u3YALapsQyLz
j014OCj9evKuOk9KVIqj/zTkRX+e3c5+H4yTk8QhcsRybHa8CdNuEpxf5gE3qVtl7jKt2NmaDmtA
XK3xir98RKQ2dTuq0CLfNJcbN4dCgmk4VV1o3DMMEXSrLbBUZsUqVkqvhdOjSmYVojIUxTTQFHRm
uheLWu4K11mjzPYLFZ7RQ6i3mw5nxMdzx10iCgg/YgmPiqSlAX81WEfHO5FC0iX01KZKgjqPUaXU
Q1VmHOgSARZwyePeggAke6BUcKpXdHaZsNvqtA+aP1P4qOpQj7QqW4X6hlW9O7n5pFPc5OZDSLVY
b/XcjSprhjV6M/njvPB1vj8wEFSgQK3b34smd2+jsqlD1EK5aZMRP/2tZZXuZ9NU9Y221PSIZE+m
SMHcT/iBlg6eIYxNWvmTHNNw8yrc3JuRhCiM0ZyflrKKGurvKJpb6bjGJxlh899Zean0A8hVLQAD
+tYkjWqdD1WM8CFp0WM89AhNiJPYfMNQELv4OYbc9ttT68jybe3rcUs5N+nq6M+zUoxDdDy34NUm
NmBo4fb5Q0SAxvsBsUWRrEvzQUxt/36ce6IBqg7sEWEleqliZck344eCJISC3kpbqUXncT8uGJsm
cJePXbFY16NkU2djVYev5sNVPvsDLpcxrO/ABcIrK7ejdyDGVcgyKILPyt3FSXv29GYdjXtdT/3s
pnKNtqNbs1sUNB0QTzhN0dUkyi7I9tiicWqrWF86312bN/iEq2wE3MpGlrqXDsJfTrQvzm1n+hKJ
4Oa8L3Oj38f57CRqWmxMo359aqMmJ9GhIdHD9+bniHb/4ni587lHiP7e5o/4iaV5cJgd3uM2iu41
XP+FoAR2XbR8Qqc8P6rFNnkSzb3tsA/2x7iwajoax2svnAdjx5gxiSwK0ajwp++2wR3/IQE7skgz
qAwEnuyJLp3+nRU13pMshdemHqj+tVKdAxWG4LIW4sUsoP/jqVbgQeNnDqi6XTOocPxb75lo+1a9
Gb2p9/xXsywHqvwURYdEaRxwfqMV0Ea2A1wDhGP/yjMoasxlc3GpuJnobT2X1/ZStnK/Rs9t5ue8
0pv/4ndkYlzJPmpnL8290Z6tLFp9bxspXjWiFjgtZBIydqrAztDfOTttY2SbKh3rYLT19WI0KGYS
uNo/e163RR+DrpspKoOqG91Qx/zS9jP6POQKmWWCokDX4iG1QpVMG4+4yuACZ9OgZvd8FKGl6r/a
g2XCKYPQRK93mtRm6hLGsiI2Zc5UkR9actbgAA1SyGK3h9eriIhaOFdCB+P4rifPZJUZRGzE3IdZ
qtLyQcp+WnoCPYIocE62Ess0fF7qfXVMwqeoyqRb79GSJbsqqQxXOQZRGacg1sedeEFhx82lLPQa
Dv9YrGJ3/aTKo5rfQxIfBvrWmicG5ltpprwJUm3HUbj+jU/kF9Mf5B/W8RiX8BFMFgf+rz6rzmbm
kFrFL7bETPIX6+0GtQ/9NIq2QPS5RWtHhkjrjW6YhGODBStp4FGmdCaSJHyW34mu72ToX4FHf9G9
PxJ7/j1W4d9TFv7Xf5fF8NMP/b8kP/z/C3X4KX/q30Md0CcgBvg/vPhv6Uv/u/mE1eb3P/FXngOB
DQQ6uLjmkGcgMzmsTv/Kc8Bp4eDR98m94aX/lOeASQhunbNa+M5h/IRVPVKX/CPqwWZ94KGHR3DF
/yh1SfxiSuJyMO1g2cFoyn2CKP3MO7N8TdvC+34t7V3Jb02758LOto20ACboWbrmnUQnOp8nIxqO
iAmBxovOG4Wauff7wT0r62hREdGgacIvS+RQmURNXern0W7xyKajp4I9YCOBpFgp/QS8FwP5QiMO
PrFM7itSfxS9aWEra3su54WJED61wLXp0f0zw+yL7UcXMRXM1olmiGe8aTZtRfm5W6FcqtRMZY57
9N9e5H8QOPyqDQqYk4SLYo5/fezivz6dHhIHLnT3vyK8XeMGY1FIv8AZLkR9Hxeca/CCTtW134Zg
rMxb7EGHMdcFQOZ+yMoo9POfL8n9Ra4UkO8QOyRN+tF36/qv1SGUrsZbMxZfnMZGE6k8SubNjsqc
SllaQQXE3ULtOzIBaIwWGlqtakBiW+F4Ajs+3GPh4lvyprHXyS5Pe17sS7Y3mldxmue93N9hm0GB
jgS1JmBj32uHH2tjb/IHwNkJEOl/pLNAQMJD9kn7i2xs7gF74edFmJe1rqy66b7aG+fHExiO1b8h
76rfH//89H41iNtsGuQ9R1VFYsb3/fxFpmmHeA90/gVflQsGqpq89tAj2+xwLULpvdqm/ojLMIHf
4BZTKK/WN+hZMKH9+Up+1s4ctyzIgBAHtY2fFeHOz1fiiMLYsZbBl3WKxuDBV0ZypI6txWxwU0zB
7v9d+sQvi5lzJfQglagctoOT1PnVRSpc/EJ4teqv6M7sMIkBvj87UWPw5XTdVzCD8Ms+LQfWaX02
q2QQNcGq2r95178fb9S0YyvFgjfwu1cwYKpopz1svuZtQAhMAEH4GOwoqO+qBvwEQCp+i4R5OZug
zE8qzvWHEu+iuioJtXr757fwfbf8Swjz/ZmQaRDarDzE9L+tvL1dtrWnTflahHbwNATO9MZtLCsL
A1PdCqddHpZmmG8UTuPrRgvnfu5C4IKwmfVjBWrIxupQ51dwoN84AahO0VDVT39zlYfO6OerDJAD
+sgx2fvxb87RlWyONh685auB1iqeBZEeU9q6sI7LZK8PboDpMtmmHW1FNPr9t3KHZ072HIvkRYT9
9M6Pm+LODrf62R0BOeAj6vw8yrHhcRcyTOGFrPpvXvTPiiZWuC8C4vN8EeK7Zdf9stcsp7CA40Px
0izDiCNqMOqwfq5kwWGD+PMTOk6pfz2gYzexqIg/RqxFoOtvgTJu1TW1qnz3i3aKqfK+ugZIt7zO
1UKdK/rh2NINUWx4p//8xb/fJCsnOP5xI59D/heFGK4kFECynl5oBZdoT2TYYKMkEbBiN//5q5zf
SwYmW9eOAh+5DUfTLw9UYqirUSu1X6bG89vwqorz7rmBoRqwCeDWKtQrHe+53d711dgd9pW1JC9B
TqHCrdk2HMA5rHDexq+lRHrqpeXauc1dvRZjZK6WzcPPf/Xni/7txfgIWYncgQp2KDu/HqBOXEcu
yQTdS2fmkavA0FQTiOAY0tX6vg16AWi19thI//y9zu8vhmiKADkdmwZj8q/HZG45tlajb31Gqem4
exoD2iyAVJFC7Jo6ooE5uaIs1+En1BQwxxmz2RirFNuku76t8NQw+GHe3WeiqxwZn0UXYLr3W4M6
Nfvz1bIvflnAR8SK/32bxEcy56/v1i82NbbL2H8uI2wcAaIIM++PEwQti2o3dmHWSzwprLhY7yp2
09Qxi1nwFcZwOMe1V5gXFmArvwXkBvEJVe4dRp3V8Xr57ceBj2iK08zX6AzfT0XMKA3REyLNIPeR
pBTxPXmJtq8TDmmZSdnmR0tgTYQhmcw12H5fA2TM+sNujpYV5H/PeRaulAfeb+/V4aRxvcFnfw8l
PMSjCjzZfg02AgSdBP3/tD+y/WP/fVd1LM0RPzzX6CgZd+CzAILvwQ5IUjwtBP0R9TGLcH27joeZ
fJL8Cu4rmA4eSVkGPe/MLTWkB9x3WdUmlSCsx6Ac8RkCi5KUAJgGvAFV0bSh7kAN6FSH9KtCR98G
F3/V5fx6BomjeTKDPgziE+JuPOmyiPnqfzpISObj26yCFL8HAZE2fBiiCsQ399ahum+8LmIUdybd
3ZbMtcvNAuPIWtKwmzy6aq3w5Ecr8RnkluQkgBGKA8nAblPRMDPp9l6n8MX8dQO+nL8n5YSMhzKz
7fzwQPp2x/KbdHEUsb8MSsOUHzE3VahMK9PpMFf+8zMGNVjjSVToj8qUJdeD9Ily93kGi6gOL7hW
JcXRiJ57IqXkeKpeXW88OT9SCz+wbXNZ33TNuGA3dkoU0u1JWCFTglH5oXBUJhy4PQr9sVz6eKZL
EhiCWDQyD2T7ppv9PgQUFOJYLjC/LntqRSHIqinwW/HOhLb5QJSxTh6e52KuI3FjeboyL0OrV55h
r1fJ95MFQujcU9QgRJbZHi5Rs13nQbceVqO9O2YF6WjB75mA6YSbkLEK8BviEOwwpSI24YpDd6UK
nMZdfI8AcvNj/Y5i8Li1IhIDEswY7JVP6U1/GAcX4tT4P6uYQ84u+JiZSzLcPb+4LfK4Fi8G8AnS
AN7YvJhoqFkpAtuVd7UG0ZHAJtsqOuaEnEDU6mFCdey/rxaP/0ljYQ5oR3rx8YwHVAXy20IwK49z
j8JjzTWMHN6VnDUOa7il4Fiixyi3vlVRx38HOjg2cChnagOjyk5XiwGLfW5Gsx/Fo6xp/OUgjlSF
Eu83HzqiruZN+BNzCjCscsT6NqxqhLBk15IiY65WbU+yvT+QfT5wGKeR69vp/Y9VLarqAGnqeCfk
SUcN8CS5nm8J9aviNXMiD7l0iuSylPsZterZhwVX4jzXpvBsGNW9KcGVbbU/+gZVhZtGU0Re2Slu
N9QcNAowuQ8B4a31SGrl3Ax2GqCCql7hKK9ysFa5HG+4q0igcsB+wmm1rqvJbioDZzbM/ZTqZpqs
DUp+IsIYMdHEuxm8qOr9T92ELxVlGSBZ0T/F7ZB7CGemPtZRGtgkejYnCjHl5jSLQoKaFmrp4/if
ziqSpebyKheS+N0iiWrKbPCyb76FnYdia7hnBCX1XhE4UOqyLO7qvlyc8GHW8XQsngoxLytx3gwZ
INj2j3Vpk0rEGspFBfF/2+/9zu8N7rpgndt9HJfvpqHjKWVtzfvoEm1bzjI8AHS5lFzZDQtvqXM8
xNykBLSkz6bxYB9VcOHhs3LtCvvlerZntfGTjMwDvzeP+VGXantt9et4lscEUnpLQXlSng54fnMJ
vfiw8hTZC447TyyodRiF6a95+0feToTAxLuKmmnnwkktITgh9XBLc/2US46j1aiQUx4IUbHzIq85
Dtl5Xo5MGR34VW9xKI+G+mCi0vJeadvgc4c0b33vSg1zxy1F/diP2Bnco8XCqFGbF6JrmX7/mnup
+sfDwbMheqKj4IkGkh5LuQnrmvCPHXFRFIkiG/Kty08eosfh6a+glJ7D35xWs4VccSg3i6fUkwfB
xpYLiBopZtVyPMG/lnVbbcfvGa8XLFzYnWNQI1fnKPcT+O/+zrFYlQJdGc6yLaETLWz2p1VU7Fwv
yjHFJKQ5hOrBrSi72RSDeBInvDsGb2G3NeOT3erm7U+hFUGn1voc9OuiXn5PrkCcWA0fK2rufv7v
QitA3Bs7gTac+1sl/E11yd8HWDQcq0h05tVJB97R3wRYeKFpXKz1o2XmDz/FWMjBq7WVxI1riCr+
Q5pFjGHVHs+5u2/97Y9Mi2Cu7zcbZetPuRaFdFGuVWEwhzeTAVlP/kO6BSxmeKi8Qhc57x8yLvAn
Ot2czCF5NWmZkyzy+CPvAvh4lP3FVqFRw+n32AvP8qb93dyxqpOfwi8atGujusD5FbtO7DVUQRb/
3yRhSF8sS7qEqg+TwzI+25f/QR5GH9WL22eOj1Uf/l3MwioeRpebkY9/dd+2aYi2erMVbY8Cfeur
40BVrWiV/7wZXykvU/k2wqL3tl3Qo/yIYptye2PD4Mw8ek3cMZIOaiT66jhWYgoJm3uIjvZx5ABn
O5SImSgNrW8HlJLKMrmTn6VptqI5bkxt0e0+FEfokV8OK0ePD5XBKTN3pJzvF0Mu+Iwz2Ych3BM0
pMfkEEpn52rNj8S4ZWir4L3fTSQiXJC8EY58wS8OtqWWwadM+tNEZx/VpGK5F8/16YI3m97NwuC6
KWqZjMiQ3W5zayO7NYP58+0T+qBgF1dYqIl6u+pccB3rul1amxulL4nAN9GAj0dBbBuXM3rD+kZr
spl45gFBqB4nJ1kNmisdizLku5dwD3uyDDz/yCOE+tN82BHmQ5mZCJPk+idyJqgotRce4YIE38dc
UZeryRk/xSMWnOryI1vPJVcm+LzhgO3PgSvD7q7o5cqxOCt19FKdCo+WpYznI1VvJvlgdr4t1mTq
OENOC1OYcB6CUyWhyjXPNrZHn8dPDT/cMf13eBGnznFK/XWCkY3NcyTd/EDIgng7rt4R+ZEMqQpP
xv3FVIjkvjWLxYOlzMjjChZCUlg+/3wS+0ByTLIosdORhl3JJ/btfEiEa6czhybHwmBapZVNH/DG
b3Xuv2/gNmucL8dr5MB0nHeMf8v8NhpyzR0L2R2hUjDeIYxqV9TrVj7uiHTy+MNahz7ySvj7ot2u
PdrR9e2OG4u7cnZ1gJ3juKxVea3s7mgq7FkeEZeba45BPkJ2F7xvAbUcnVYbqp8582qXLqXAr8Nx
ufZqHP0rWxXTGj3uc+n21V2QI50er8zuHftAIKzhVteaJvNtM3nHFsEXdQCsxATzA/kKU/dJOg2j
cTU4xwITOTEo7mVwQ3S5GQ7c43RFQl5waCJZoFFNhVB0gYFAAHIoZo/1SM6qpLO2eQLyW74ff5lC
yq8fP01XAr+5NVHIcemUXBeZWWV4tIY1FoKjmRfquNof26OeIWffNsvW81LHCQd3i1VLrMVHuN2i
Gq8ILsUkmrYDa6FJK0NPIM9I1o6123Ru3N23m1OsM1HMU+TAu88tAvasIeicd7tYa8t3dTsat7f2
9xBpOTlHa03WPSNfEcbV+GkdiQto+YscsGVQXAxpxXfe5sw13hjfZZ21BEryZKXymdhshMW8kMmL
aS8ZPHnPiLt2Eik3l/kpgL0nSUwjIKo/raWjeSj5j85nKuyVXmPqo5G7rTQ5DOZ0ZBFTr6K9i2kM
dFHYTF9dga0GERszC9I1C5/Gy5FJuD/a1mrbqShVyTiCdhUH+lUUQEO+DfZGEAdjbQ7P3yrjY+jm
L+o4urBRO8eQTwre0cgXqmd95FNe8NbmFgKhz3Rk7XFajavf0aPgQCFTiyaEGrA7AzPv9RCqbpuO
+YHlFPh8PVByvh+lUlGTgysV+vDD/CUOmqV/hc2yZFQhasO8/Nh63UrsBX4cq43xjRH1Q+ZPNq/4
g1gYOI24TCsX5liSYKlb98r2tO4GHsh+TNw+CcY8yA0ZMFt8F1uh7oOg9mheQSyLC/GFenkd6HDH
HYSLormKJpeZgoPN8oi5EhqJVngOmrrnY2JvHqlVcuiOTtTtXKp4uv2YGnVd1OzSQa4ORYqGfwkQ
6m1U5xPahmMK/DFYNPl+XHRPeIUpUnaZwYYzRzsTr4fGhIXOkGSz+rey63illbMcl750mpPwpMsl
n+eTpTuP1AkFOMIP8veB7I+k2xwFa+Y1WmWqCT+pvstKpx0mqhTEpoleHxO6+VE5Yj0djW7r1Meq
/DNq9B8wo4gk5VhAIIb+b3h+9F/sncly3MqWZf+l5riG3oFBDSoQPRlBUmKrCYyiJHSOvsfX53JK
r1KkMil7VpMapNnrrj3dGxFo3P3ss8/ak+qB+3L8OoWdqjOHWJOxs2b8oJZwYfqG3/uXj3yvqiFT
4TlwGBm1mXbg4ISM9dvE78zQnQdNq/vqgN1ghf/5aEhPU8rux7/uz49i3Bcwm6UalLRC3ymr4PKq
ZUCd+IrDW61PpWtbA4dCFmvWro8/610bwBbw45CpLQfEKTiwP7qgDE20Upk0vk5W3lPI4KMweRKd
zo55DeMmV6iPBQNj9twXttMiouBN8GRQdSZ1NyqE6qT5lLxq7fm5Mv/qtRXY3tQRSTgte4Jw65G/
+vjr/3GpAA/qYNsM3aIcN99jAKcmzLsIGwaRggbM0g0blCoL2VwpoT7+qD+eOQth2Kf1yKw87NX3
ejfHqASCo1s9+7Fn9fM+nDFs3QMiVq+IG0bjXx+59y07gxsjFKSczwTy8D5zoIHy40Xo98+AuNQa
hSsaFbGHz8QGYfpqzwp9aHYcJmb++js8Nb25YrXLncPHv/39ZaZLT6AcIi1tecf4owszFt2E4zqy
vqBJUDfPMTydF68Qqpz/+JPeX2XTsXR+rQWYQtCxfC9eZxwMPctIjS89Y9rZqaukKs2T1LbY5GNT
nRo//sC39AOaJqADkJ1pzAHy5NCkfvpv73VHQA+Lydx8aXCk8QQx4KaWORZFxVgOmxpGFj6yaI79
QGROzM748Rd4xa/+3sHhqKVo0kCwBJx4x3q/sthRLI1KFF/qGJpXsaF3umQbVI/YT3Ecq2PL0MTq
aOzatlq/f4nimtMpySt3QU7Fh/HnxfmFIUf6n3mLS9iSVAvLT2ol0KTSwzxqddj2V4mRMXCvjHdq
sxzmvhxKuH46Lz6uOjwb6boTPeKRAS1zTDi+IdFtQKMkZneAFlR7TAoxEszHtIQEsVhoWHKoYtqk
Vts56DPONkBb1BZfVQ0W4ED8FOhbjvasmgwVq0MTg0OvJz7TUIflMMXxhmrTgoJCHotSUO9Hc4Ak
ishSZMiyH1/+Px44NcKtq8wR37T+fLR7KotY05f5qYQExpk1AuxJweEvnToB/JKsP/5ItX6/ueEs
tfSU6dHgxcI79854QqNsVsMF4xNj2kpj7BPfzU4O3IJMO+vtK1rUln5PETUZcJ8QYWWuvs3HX+P9
L8e8b+usnECt+Q/v1W7x25NfuHUxci/jp6xE/jwmedPld2Y2MoZhtt1fwC7vVxAFFxEWSpFrYXC1
nXcPOYDiKImrtv0yKNrSvZMK9VikaaVOVh//LpJd3lxf/ukAQOj1g+5nX8BL9vaVjsYJQnoxmHdF
2+neOuwNF8ZuhIxKpZukI7vDCoNFzn8JBBuey8mx/HuKNafxVhWyLhIMJY/yi1QMEnMOJYpJHdST
iAqFPAfeirhMMe0H9gS6zsVB6Za8hIPnKpk4y+mO3A6aYfHjNNxr9p6MJNUpMoZcrdcUBBlRVRhu
k1lui1KP7NPHF+Hd9eYawLOxdN5THJJ/dkwdiBWEdvXTXZ+DicRNX9KqyFbaWKLTffxR1rvnWd1T
Fi8Xgw/mQtbRd8/zWFZoqoYd3np2+fpZvYN0mg21Our3LPUsQT+9HhJTGFehmAqlkv76q2bolUKA
LZeL69hC6ZnUgorVbOaYDceDlgEfWi5bXlWGJJMqz8bdjMORd4ckD8rjBIYOZcmvxh/dItVE0mRq
8u4snr7w/w1lrm744qR8ivbaHRc/pYnBQAGFbKm8nLQff6IOxcDCX65JP1bC8q8WGm8kz25Kz4N9
LwxROazVbOQjEsjHl9R7e/tejZDC1AEEQYECa6O/e4RrfsHg6ST9MIMjHsEeOXjTaY/u3cyrbDT+
mHEbe/KZ2AEytq7ssNjnZibvyRPTmS9gMoWmaWQxoTV7MJBBBt6F1K/ttZzaIQ5ibzD3iZ/e5IXQ
X4bKbqsVyM14DujluFeDE5YXsZ60J3akeKFaj4dsrbWp9bDQRx6OIVPGkISlr9trVMPsXlu0juJA
TkyskSZxbbMrZVtbatZJzM3AeNhcb+iJy/uYHv5RSpMuQVp14G3LbKSF1xnyC64J52JmlCFhWKnW
DbiAjbg12Z+fq7g0HGZC3BgJI2rbHRNQxe0orP4+sSz8s56u2QUeXKd6ynq//Sa1iplKu205FoX9
Pp16WBg0KaqAjEZ3CqbRT7QVHP/hCMBw040MC6+8OE0fegBdqOZhn627sSlvF2Yk1hw/1byQptmB
7uo3djfrX0FVtV8Msdh3ce/0QQzT+yITbbLBG59cfPxEvF2seSBoK7OYORwVFCXnvX2rRP4RtRMV
37hfE4QAYNYbV5Zdym3T3buPP+ztC/3zwwTGTLXNc4Z7fyIJyXmjJveLb64ucjxpk35rFJXZMoOa
nQbb6qn/ojK/oUUosr+cx/548l9/Jt4wWjYs4u9tE73T+mVmN/m3uiDRBbhtRWJOjh/pb9vf6z/p
P7fh119pmyb+HCLC2JDfu3Qm5pdNhgpiIBQl74xlsl2sSgqeZD3FUnwqzDz8lLShVgFKdfxqbUE2
ljvo+e56kh02Q8yh7lXjNv6xYO78jv225ZzUy+4+zzm8mF2RVyuzM+wbovGKH3lveZcF8uzNYM7m
g59Sp65IPdIrkJHRlZX7PMeayF3Um4xenDH6CGuNP39Ly6gLUjBbWyNy9Gcc71awcP/+chb60yen
jgEcg7gupN2Y748EJF+2k+3Nyze7VxefmbV4Z5Wp3E/L9MzoErMV4OjXvRlBWKwbzd3bxez8DQjl
qNXtzZ0RyhwMn840MCoCO3+7gePQymkfxIzu9SC0kdOajJEFR/jrli4JIGCbzBEBfo4JU63KQZSX
+b5EtzoNjB8z8yMi7YooQXvP3BjCGSmaX3JmDpmjyrRTMhficmaEqWB88RYNVF4BqwZm4NIYm4MF
pP9pxE4fBqLyxSeOjUO5Zd7lx+ymydkSVbLLUIr3SVRWV7nTyW5dhm3P5Ezc32G2y260QtF13MkY
t5bZjcwNkSN4O0o/Jqe11vkB8QTPCfQvLQCR1ilIcPbEz7ajeZdJPNsPhuI6wpdn/uUvpyN17d5f
Wxz2lPsu1aww1fv326mvRxLmvgvgNMzbnxnlSu+rxJrndVYX+tkYqSX+8on/le2RswEljkHchbKr
vf1ISAGyydk6v6dVah+RzbQcNsmsXSBUplsaER0rvRM13ypLl/dJNHWXSeLrN+CGrO3HK9u7pF1e
+tcsDA/PGj5Q8I7vfn4z5g7RKJg+o4kGA3V7GX4pm4UpcsiqDighMqVWfV6GctU5aIXrNHYd/JdR
skYn8f2Ahmcer5vSFY+QjAYl/SKhF1obnzI3afe1ZU1nt4+jQ+SIyF6Vwjdh4M6GyeBYpec90zVe
GUAudqqdxmXZqiyVE4F2A39gFNrlqy10nka2sxSEzjYa2b2D0kiyy5w2LydKKx+ilawllJ1hTOnh
Quq/B1A/bziLtJ87cyoOcS4tUBACni9PIu2igOSz9tryk4KWK466CSQ/faXOlTIi+VVUp7Hy2xaU
V+Xi4/YYwD1gTmFaBlK1+QD2KXlkOLf7YScmQ+ftkDKk+Xp3/q05i/+XEYo3sxj/3cDG/4dzFljA
dfO3B/mPQYtTAvSMf1VV8vu0xa+/79e4hef9Y+i4innLfg5O8I/8lXLtG/+gDTigfzlX/ArOtPif
vwYrLP0fA5wnWZnYKzGNON6/k5X59vSAmd3hbec8JFAx9T+V0l4nerYbeAGY0l5O9IEYFsVdoHKi
/dlYw8NvXqZ+qF+Y/gv/soNRcLxZ39Snq/0c2ZSiRJELuQi/r2+JwBOaVW12yNNyOYkoW7aa2UJA
o97z1k4X6/uuBiu6Qm6ISJWu58ymiWUWlyXhBXcLmcT1CoCFGZHICdcFCMVcNkEWmtN1k9jZWsA0
eFqqjHFfRoqTntCIRMzERLeVubGMbjkRQqHv+ZYkc8wxcW/ngdSL7yJFNgzqJAHkFQP5xvpkuZ/w
zIkARPe088Zxul4E37ey4nknBjs8ls7EdXPZGy75mg5tHzJsni2C3rZkDWZw0jTrMPdzanDEt7Wi
2kuCm/vmsxEuvXb0OI0bq1njLn0D7hO529EXmnmvD4Q+bPI+mho1K6E5T7HuzxCiMMZ38UWJpu5Z
q5HFabymA9fj2Ynoep1xUsTetsxmI6JtrrtbXWZ5ba+SKNe9rcm8rU6mMqfYg2GrPxlhnROPE0mk
xc6tdRcCEQMFK5jyTQYCqyXf10A2tbyALF8jSpgycUNdYK8soq/5MkdXg5jLTUm8NoPwpJiq2e7a
e1z6qdMw/TAoOBa12PXusu74Kxr1Q/PipPVwFl6qt0Gmg3aX5ErdLAlugDEMh8dG3vges255k+sn
o/XkDsxD1dAaCQbp1hdNPm5ru66u6zgzeWAqFtBOpWNrsx/eDO483WWVoyYsoakJWcQBA5tQZJg2
/64VU/rJa7uJQImpXgPJAx5InMKhg9f/lJI+jgEmLteJaIoDM7Dd0Q7lHg+v/BTLNLsZmNwtlGNG
BKRe7TRjdI8AWQ6TP9+KAs4JGAu//eqURvgpz2KxniwrgYjj5ht97PILocuWiUKGMOMlkXfl4Bar
WjPiHb00/8WNshrQRtik1wPkbvA01BzBVM362Z89Aje71NCORezyd816od80bYW5sya8CLzZbapV
5pPrRlUUmHb2kpiu6kLzUtmjZW9DGdqHiLlORvan/NBY43dlMXxegKxsfEKmIcrFUfcMLWOTLjRQ
jXi0V1k1Xgx27FxJYCdbIo9od7pRCBk7srNDiWJ7CkthPE34n5jrLqDEmOBi8J1LkE6zH/R22d4y
+cjxeXTKfcaR7mKM5+ksMSTt86hybiriMs79UKWPSKrpE3dU7qapty76cpH0vYrqnC22fKmizg1R
fCNxTBprua6dbrjMO0Ls86QyYPBXnvjErAphByD5WFasKTl58Llv/AV34mrkldhLWhLaqvISGI5u
ZF31Xt9eDhB9HqZWB2xBDoIOoWdITjhM69s+68fPSeJWRytD+tWmxH8qcdLdN4PbXeAh9TVAvCIl
a1Es5tYgdhPggh8eKtp7u458vzWECm/b1IPzw8EuvLOZ33iYUnAyka8diqzKD50TniS0NJSwGCOU
70wbo4gOpl9dzI5O19y3VlVm99/Y3k1y3Aq516OJCG2nQvky2mHXJBAOzVif1svk1l8raJIXej0C
J7OZlnULe7xJS6c+x/AQ96D5rBsGHebHvkyWFyc0hhsuSHgFo6xHP5iNYLBHAKhtx8k5n9L9KO10
V9mpi5+5L7M7QjPkjtvO26KN9dYXWfXN0txut5Bv2K6mUGfm2p1sdImGGCcDLz927tkNUpNDlNc6
5o9FIY5WJFj2PMozeq5p3FaEDp3iML9mBto/m6UZPZoe7/8CTGE7AX8fVgz/6ic3yfST32X+mWxy
84auOWASo539S+YQ5M6X05WsezCEBi/qse8je73YPmEN4dhNB/iv0bEi7WwdeS7Gl94qTlj+QBVY
LDWFLC4010mPZm0bn12sfmbAYHIYtDRqX/DtTQ0/2mtQQNo03RMeUH+FI7CZ9DQ7spf4m7AuzS8p
jo2DbB25q+0kuTUwIeEZ6MTZ7MBBaHTksZHMWX3X0uI9T45YTkNbac9V2YP0Nozxk0xK2DW8PeKy
GMf526yVGCiyqHb2ReGMsCfyYRe2xnAeCGA9mtIstl5S1/cjAILryZlDnIDDsmP6OL5hZ6ueXL8v
v3pdIX7MSdbJlUsOIuHL0TcojSmayOKTs1Jt6UH0iDyts2Z6piMhm+8JkbbVDp6RpYSStHJ4BjVn
yGAwUV8DV7WuZWzX9yFY/Q0n1fLgOXkSAvBKsx8FqTHbFqDUA+d6192Ap8m/WlHk7YoaGlZPLMLF
gAt5JRloPxBfuPf7DBLVbLK/raTdyXOHTn6Venl7yoy52zDzXh7rUutOYafBIbMz5zxKMay0oegf
kF4BqlX+0IIoAhqyaq2xv8H+AnoF18933eplv/LB4Rcrn2t8IcdOI6nLcZ/qpGTpIfGesqDV8Pqz
aFcu+Msw3KBUl1ciK6xzoiPmQZahJGNEzVilIQOgoitfn4kxsQLTh+uYG3EZTKXwnjPGV7fkNzzb
YNdOWlQ4n70IUiVjINblCAiEZXA2ryG76UEUFid1A4+1tIzd0vXBMEPx9dPaPPVelx4is8SXERfl
dUmGy53wugEOIqzXui6dneaSDQAS3tp4LpujzMBkaKVVHWayBm6INbRfOmgcqBpdtax7Bkc/G05a
EYremlt4MsatE6axzaRJZV9nYa1QZMPk38ioELsxZpMddeuS0YGR257b+gkR8IS/Yjr6nekRJ6PV
3+OepsWKuQB/jwIr9gIQctDKFgxkOLfX1SKr6wyf3z6NTXM/WQ44FyfRgnFc/IX0jkY8cBYwbyfL
T5kiY4jrh5dr/VNees42zKpHp5YE0qT+jYVRg95LiXV4xTml3ZssedEqhVFwZGhFY1zQbJOASht7
qNDq5SVhlIUUBmiLkPqmtVOyvWE2iXg07RaUQ+ZcY2TLtkbCZt1jE6H89RoBnQ78Y4qpwu7PVtTX
a9yX94VOnvswDjZNsUW3d+x3xXawkSUl+JCtBjNlb5bSu6KLPLEriOSJA5rbkkfncQCZw31fpWEQ
xZlvrvCFGdkBJyh+VqIwrxHtkYEbe0LGFXrJ8XVo502mZeMnGANAUbCyHFx9Lq66rB55Tyy34eHw
ia2kWt7YeMBQQVhWkBg4TMO/m7DTm/r4edBldKdnpbyD6ettyaIgT9oJ6/qqyjr/YslcTiuREx50
UfU5k88pZLOsZAdbeeDmkn5olvUUWekR8xyUm2QwEnSeyC/3eW1G7XcrT2GH0j4kUMNDIYTVFAIN
X0+d1xwdGdc3rtZaJ9tu5rNfN8aaqZUo6KJ6OpIlumwiDv6PDAxepLZ7G7nJiJ4F4TMBSgp68phn
wviS0DVcNbNkMiF0fY5kufsI0sw8ECKiiu7YWtdYCTeY+J6beP6aCO0GYR4PYTy4a7mAs23rRA/K
rhh3uoVqDNwpmCgRLhJp5Mx4R3fcFmvbzx60yxZGpiU53GgyuQKAY51ax34yWhsv6QC/BSFIrgF9
NvhTJRdG5XjJXAF3MMEhMdjFEQC9tS16b0vY4nz0kuEKHcm8pwOFgoZhBmaCW6AfChPvNvl4QZj1
dIZLYFMltA/hTSD0ktR6mjVz2mEBZB7M97BaOuJqcuMsqNwiOxU8fs9aKzbYcsLbHCV9XwGQAVbZ
6ickh2Q9RKMdALVkm2vj5JBUwtvObbcAYQ0dDKs9qbRlF50ZRGBnh2N/5ej8uNSTm2TpcuqEqsFb
WYn2p7hAzR99ZzWSjCwUvyP7/yxLXcwFFs1Hpo7xvL8TFePQBm0DNfGQEkXHEW4S4bFZPFZpp89c
IjAKKlLOUgVbtp6tfyvX/4sPfyvfq6rUNRmUxCNLg99l0vttVbokBczGpUoOxlQ2LwsNnUu05PjK
y/zs08cf9VZAf/0o+qzUNKr6/bO7TC5dCtcy56Mqsy42vCNotQVX7/vHn2OoSvo/lcSfHwSlwUdw
YADJfW+IIS13tptMRIe+Cuctg8r2we0ncyOLpLsmtjXzLwefJhI3PX+uRERFPS5RfAUSSBXXYcy3
e/1K/6Mf3c7V9//9v/57TgfA5N9u3h/y0f8hAbVon9vftSPj9e/5l3Tkow85LlYAMr9Msh94Pv8l
Hdn/IJP6rkvAqwN5wed5+5eC5P6DZx0Hnu0rGIclflOUrH90RBiHSprOP+G//5aiBB7g7bOGQYF/
0QjFrka33Hkv25JeatqV2dvsYB7ca4ekj6boht1CXPBRqkPr8np+LdVRFqC8uHQym/Otp466pTr0
9ur4K4WEisijjfM4tG7dFBYoRhWXs3pri3Msh5YKb0huMcBDbleH7ByPxpeyColGS6nDmNbadOpQ
juUl3YPh4FSGpYBTO+TK5YWURy1IwgjafThl5mdcO9kRBFRxEarjf2+1Kxyfxal0TEbgZAg1KM3j
ozG0IIqTnBoi11xrbarCIn+tMUKqjbKiSqmk51/ObTSk2Gcn8wZLtA9Nn1LFUEULDQ3ql6G06i3K
t9wZqrwx/MQ/G1p2bUxQ+UJqIHBx1HSqLCpqaJwrnR72D+R/dnxVQHmvtVSjyiq0OntlpIJ5Htuh
6mpYPXeO1Ktv48iHWA3ZoLUq1ApVstWv1dv0Wsipko4wAxLmVJmnq4KvM8z+oVRFYNfH402nCkMc
8vMjIEPrJlJlI1ji5uxa6XTDWkqGHgy3LZRZCk1VcuYW5ynGGcW2GuSwozbkZ6gi1Vbl6qAK11qV
sBq1bNI4TFdS3ZpUubZyuPdE25KVSAncUgvnqijWPO0A/4wyuS6XB+II6l2tiugIDB26XpeAaLbH
nauKbVOV3Tj9qMB9jToMa1iobSwawxeVKtajmbJd1JxrUlXKh5U7fq6Gsb71Qzs5IQ7op/G1+u+V
EBB2dnuZ9rr8bJd2tYPMxejQSP7s3pmkQJCTlnWzzCI5RZG9bJn/gOyrKfGBnhw6RKEkiaS1BpWB
oF/7SrCgP4h2kSoZoyeb5hy6rtwD/bcuXCV35JUL89ITyWOtxJBCySLww5b9pKQSvNvWhankk0YJ
KSQPtrfpYvkBWRzywNn4UBWh4vMWjnc2a1SgQgkztZJoCEGt9mkqYRjmSsIZX8Ucjr2mkneGsm72
mk5JpaQfTIyoQLMShMwqFM/w0r87SiyK5gqKN7XwoWQkcYvDwFvPouD0gs40jxaKkxbZ5pPwitty
sBgJVMLUoiSq8lWtmuJQOzoaTtSVD8HrHL8qW6MSucC1p9fIwChfoGv8F6BW8a5QwlikJDIv0XPA
PAwM6xjcLlIlpY1KVHN7SMtMN+WfhdV2sD591LcuM24ZJOEgjDBXotBhCma0wBV5QdgbAh4OM/nJ
QdNz57E7uuFSHGCdweWq+mzVKxGwK/3kIMjZ20J+rdcgNaAIK9mwakERLZBUAyujIbgoeRFjf/ZI
Wsp0J+gb31RmXgbcUBTJRomTQDuqa62ZtqMSLutXDdP3t06X5pTuCE04mlEI5M2ghE9N+doyJYam
ShYtUO9bUEJQNAolm1pKOQiZUh31SeyAz06bQRq9tomF5T12r+pr9arEjkqULZQ8u7RlttOmjliY
eXYQsofJVUwxUuqicN70xUJDaSn73lv7/nAXLbOdrmRGL102EShpjX7uyq8a/SKq6uo0FyGZoYb2
iHyFEyuKYOsl0hdMSzII60N2CKSWPECM1g8SoxzKcFqvzDQrv0oCGC/CMvZvHNibh7Z1pnwFH7+7
SToN0V4UASME7bObCk63HJyu9dbNwdzAVT4PXqkHXpgjmpCc6W4Y1PDvfXaN80LAyEPj2cllvgxf
MAW6e3bEJYB7OJzbyE54lMb0sk1dsiBnzb/Me7u57tKwPqWMiYE/TCSI67zalEYbbQ0fdi7SVLXB
SG09YHwx927Hr2xCr9zGyHbfFxH1lOh+9WxbtdpcyDZ4VCfru840BlSVJAPIkPrRDp4vfNY5GgPN
CONrw6BzCxbZWQ2UOp/1nktfxM6ynueu2rST6V14ivmGd6GMryD+jDxoxoj0gueWtJqeUbPI6ndF
MnVqxLW6kz1hLhAKNozqLtfZYNmbamB4mUB7fYExqhU2IPRp69blcDaGyDz62FS+AAnM1iN8CoaC
2W4TXvGLFiDLnn4RCeFZ3fhPFIHJOi9G/VGGTbhnZQJZ0pnr2XSd66VPtZcK9Mmx6jwArERFXEGa
kgfH1gizpKK8kfPo3WG5DreGXuuf4yGBYTuIUAP7rrlbi8GeczPXXwugoC/60rP8Y7ZYGKCe7Gg3
gY5c03YgrKPVLpxCNzENFJCzaf2WI/HhCshAGkieJTralq6YXGka3fYOB5FV2kPeDwrL727qqJb7
MuaVXk2VyADPtA3wIBF69Q8fTP1hkLG5sqdRu0yg4M+g4a+Hocj2ndM/OY3zKsBBFPX6sf+ade4T
yIJnPex/MI/55JXTp8IATklULq4lq0ZVB1K6Icv91qyj6ljFQtwOVWbeo5sVL5bvTg/MvjxByKMC
fnYTwCPZsWJsRO+PVd3WQ7eT7kSqxImjFvTK1WISLb5BDulsGMVJfDkRwItuM/Xedd3Vs/vYuuGP
ngA3by+HkRtHwI3JfDNJHUFY6jvSfqtll4M1PCVgF8qnigWUs5cahp/CbFsz+J4fPS1rQBOm5ppD
XnZhRHNx7JtEPDmzU3/BjBCl1yGemwsRO0ZzC6g2DndyyeRSUDOPYIpXUeek37x4arU7h5k3Z2PE
QwhFXCOwgSGgxFoXmj7vmF9CI3HbB3pLI/NFkVzrM3eyi+yHSTPHvUtBSqJF15/5k9PWJz8yIJoA
xd++7H0TVquulc4qIybjHli1tucsclcssdzEkKWO7CBEBmtJRNKNNALwKDPdvag+N9zN49KRARsn
47NNUOyx8V2NaSyt3xnFNMP8VcctazERBx2ruUho3IRbpplITC/DjkFysDSw5JiABE4PacG+yZe4
Xae1Fh0WO+oOBNZQsuZmcux0Ml0M1AmC46rLOHSJXohE/aW3XCYuEWd3ST0kIGlbf0N6TLhpEllu
xtCu6JHFsAU6ZKgAHIq37/XKxLdn5jtHD/Ufdg8cIKhACk20A7Hif3O9wvUeWr0H//TS26LOnLuw
RmXtAozeCd2Q/yniii7p5r8Ucapv/VERFzzL5Afg9uQNcPHn3/Uv4KJh/2Pgr6YqU1MjlF//t4wz
TPsf9ACd2DIwShjeKBh/lXG2Sa1Gqh2zD8oBQM7gfxoDzH+QTKBW0MjHucPky79jDHhnBHJ0Ri2Y
aKJnzyCJhe1eqSS/eY/Y6Eip6fvpXIyWvxlGkDqr0krxEGZiHJDtnPmYTqyPG13POo5K9nCX2S3L
cusX9cNvV++/kGSMtzbx12+Drq8iB22dM7ar+JC/fRuca3A84h6IWF0YZ4wCOK56URJxgOZGNPsw
2v2TGCo68E3uYcEh7RU4Lsnxwg48XxTf/K7Tr/hnxKC+pTTumLrwjB0AvfA7mCdj2n78jV+9Wb8p
Lur62bjhmFTAY6H/4di3FXaNZOXubGGPi9YuY/V3AzY6ACMcydj458lIaS6TCrCwrnAoy3Rrlw8N
totmKLtvrJ+tEeCZc9aE85Tw4fMY66NonIzMdhzt13hnjznI93YtdN2/b+P6IpMjHUPmw91T0sRD
vvv4V/15GxiH0HFBMeoEJuu9IQ07BUj3Srbnogv9+zJiKI6ijjPSqir66ZrS2v9chYZ8/Phj1bP2
+7VEFOe8ISxEViYJTUt9rd/uvqNPkV21UXEuvMU4G1ncn4k0DBJI6Pcff9I74ZElGG6ljqeOoTHD
F96756xCt19q0obOBNjZz/VYUjOHnTebdL/jjV6TAh9Y+owpjGiyMf/bQ/PWTInszyyhzgAXE1Ku
y+rw7uOFsBIkYTKs1Mr9nANvec6k+g7OkrcbkOglHVJu/W6U9WsVXYrvnST8ffRn+3Jivpq5XvyQ
JFYIYlHI0TGtdezN8/dKG6q1rhHEFDg+0cB7pM+l/7kd/Ley7Tv22+v3x7NnMvyMO4l3lTXt9xul
u71TOE6onYw+zJ/B79BVRNLoOHyiWxTRkb5R9jXy/OpyWuoYVIhNeghnZfGjE8tSBnOMnQIU2PCd
tj5GGIaExV9sR0yYvH+cFDZT4SyVmViNurz9lm5DIdnEnXVKsY6Evrfu/HjZTR1dpm03ALJoplq/
oUnt9BC8Ykolo9i1JqQMibAVZLLOP1WSYX8sJWP0MKZ5eUA270BH1dUd1AfmWLCEMvuOZrUiP4JO
aZi2xXmstBa0PDVEFBl+uiIDAT4yffB8T8KU/GSm0TXnLWtayV7U5y6sbzsT1ubaHVBhjWQ2WRvs
foEuM3rpJWO03lOok2cTu55xuQCE9mnKxVhKeLsSZJMGXPyIXQTrjqOtl3R6Yfyj+9zrmlAiUie2
YVv36C6meVvHxpjtQqEZiaIxhV99DtOEuhS19qXPSRasqhZoOhSXg1H78luCf5f33sqzzwn0S7Ea
oGkfcaz0ASfFCr656V/VYz4BemrqrWFMxrCRqIZEmI2RV9MxBpyZM3O27iv/ClUg0nEwlN2ercYc
g4IIVWZ1hHyccj2+MBnW/+yQ0bHr/VQzt1SEy7Pnls0GtQaa0UDrbquBGX8GmTf+IBS2Ivza7HTU
s8gcou3UpZTr4zhu5mig99KgatOds/J9wR+lUWo3JReaTMFVil4I7yccoVbTLIM41skwYBSvyHeN
m20im4DlmxFvNtpOQ35oypPUbS0GE1oKFjFdukQqyPCmH2tQAivyqeai+RYjppvLUzvSzyBOwYfF
kJUvJvihDvtn3/V9pZ+7rCNllbiOetkRKNuFJHMm+LtTU5afdYGHLJ0tzGk99wDPWg2eldtF2hvc
jZD9sJPZWG/cDINLQHfXCK9wMbtkLWazGOM1eDy/w7baWUriD6l0x6BnL9y6WpyGV9SNlsskOqoO
D5yVtfm2kElDB6tm8wo3E3lNgRb6KNarOdQLO8B7jRIa+/0YIm0ImW9aUGbZlpolXwJvcVgxCxO5
L8hjGCMEOM5Re00+SA62I0q8H1o/iERf66XZEUfq4R1yyEQLj4WFR8JJg4LZ9GXetzqrG/FdWM3z
TdgOCx2ppi2S7SzdfN7rbZtXgQPHiCYvh2qJD6amk8xtNR/wnS/Yli03y9f8W9euCIzSyIfEwfWQ
5rmfH6zG7+Qmizv309J3FnGDYHmMi3iMW5qIIjbjbheCdy0+sxlbR1jvZsboMt9gU3YyWjaeMUE/
AGBRjafcI1F0o/GqNGTVApRoLMeR6yikX7wWZENXq0S0nE+KJbWW70x0++hXfIF8bc15XB8MAF/7
KCFYJCDOtQZAXSbheunDjJyAsan86zQcUzsAxPUf7J3ZctzYuayfCB3Awhxx4lyggJpYnClS1A2C
FEXMM7AWgKffH+hub3dvn+3je9842q0WVSKBNfyZ+WW+Us2Qr9qVHpc0sLYxnYouVr42MkhWNac0
A+8cFb6VIubx3wXbnLnm8Umo+SYrSg0OWWWNSO3SLBoKLijMG2OtM+ZEnrQ08wn6jZhunBbXIS65
bry2p5otKYHmzm/wqRUy9zEo5/qVbqg6PXdLVc77QdlrdoV8Oz5ZAOLf7DkmFuIZPLx7+AWMqqEH
Z3x4um5pSAZ0MewABYA4AFtYKsXJIk9y+TjYjnpvcWHSFaWSOPIK/LmEpmK+jl02+bzHawfBgWJK
637AB/5kjHQuBYprtccse3GZjYkqz479LASTexe/6G2muT6ifbc9nHneDQe3HFKsMos1eju9U/xs
UlXzwRpaKI0rdjD/mWElT3fFKtmHnuHPzYkrWyzu8p6e0Qfh1b51mi0ii9fjPG6HT+a1dzYcnzlq
GB6pU9OsK3VJohpXqjLd7S+/fXTF+sTnomrjBtsofws4QHyrNiAeQNACF8GuLRkM3Ne9yyvfT5wK
En6NNZXUSnrbkZTakBdtqvPjJgA8XVca+c2AUUJHcZruYsFaZIevlv9PzR9/IxYQaqO2czK5l2eK
pPwz3fGZR6rKLnguwKW9KTIXaNp9vjyY46wPVwnH3PyqaWk0f/TYLQ5DrRs3nZ90rxDgMYSlVpqJ
c+Ml/nQVp3RbhEvvdmjVVNYfUDhVwSW4W34WJeaKeRoouun0RRYvyqmS4UiBXPW5rP62hnBdTUPu
AR5TRQJ2w751Kv9F0+NqX6k2AcZjscwtvUofsmYcrmjpyu3QFr1IWPZsi+0oFf5zn2syifBD8Zqs
sEH8k1U3RverYkFGeTd4pCK1rdhRblM5taeESkZsMqq7MvpJQF3xS5yFZWpKnaN3l//ofek/aVAL
jfPqj73xQdHvQtrKMFxJj6jgS834faiHVfSkn1p+LAz9qLCAXy3leD0vbvmYS9gMnjscCcdI9DC1
1T7T0DesSEdF01zXOOYu2kiFUYT0WsmrBPYThEx7qNInTiLDh+5vqR+WzkFiCx4UxTlKevhYqSd7
RGUzsu9Gw9xMBisnsOVbC1XL54sxY2dKTHPIWYtb9Z4mKAq70h0c9AFSIfdMbeL10E8d2bhsnXhI
sfDk5t3MhMe+qZx2qy5spe7AXsIwvVs43QyRommRYbxXo9H1q1uxdgwDqajZBLooSypK8QN2PP2F
NSduuMQL82zmGk73QpmM8ZQDr4A/0mf+M896NdzVfm2wwIrWz/delVL5OE+vyQIqVwROuQ3u6TZU
oSI7a1E+u+GMu5gwI5s7T3RETIafJheHZb5k5lg0F7dvU/OOns7SOaEsEmhOAeAQBOm1VoVkV1kz
OI1N43WJ1Mc1ErDOfki9IqUIXNdPC3C4Hmqn42KOj1P3bxng/8jh/2KSAkOY4/f/Wlvx/la9/UkN
//otf6jh1m8A8klSkL7H2GD9gxpOxgJkCgd9LlWOwf9yD/hDDbd/03WXEBpkGm5a5Cn+e4yi/ya4
f/m4QBxmd3T3/DtjlH9i8ACkxqfQBfATmuv/fNXIjVZYg2lpR580ao76vKzHybeGp3/4nvyT+chf
LsibZcUj/Emz4Iag+R/0kdUY+oWVSzvi3zJgnlXUUE26d1spALL/4pKHveAfL+Pbn4XpFHMOmwLR
ffsvtyd+FjkOTjM+Lkbj3+pOL6/pMTDP1krYlVX6X2bSoOz+jz+Su79D8Ab0B6AV/S/XYvhFdme4
aA8ZcEc21q4ZLziXEyqbqUm2GfAo/5lRmolxcaIKLLTLMl8ODj2g9YEk7rSzJTbmYJprSpVyDO3w
ZRkVLX6vv9dzttUPD/6BvjL/oNY+O4D8F1gU5/q89EZ1XxaAnkqtH78Zo1OfURcZq7NI3MTLmN1Y
SU6s0kzq9MBxvDplCe48eMnVvdCs9ZePP+s5JSb77LbJtT4tWaSIIuwwJevHVZgF7jcEmF2am9O9
GKbqczXX5hZPX/5N6Fke1Jzs9naX1hR8VZJbZa2OehODAl+hrnlSb4IeGC1TdhpJudAMV64xNjd9
CziE24D5hslPI1mxVcz2mjp2UOcRM2Y/xkOgiebn4FXVxVk3umqzphM+A8XpHyVtr3Prfc0KzVdY
9tLeZddyFwXt49WHQrMMl7Ru871LArneqZjnfKenDaKTblb1O+Ui7Sv9KN5L7hfiwU90P+V6Ovgf
uTfQqG74PUfrSiwUslAzOe/RRGn7gnuUvhdp6dm7rLbKW72UHh3QNDVdXKSXqwXn+zO515KcT9aH
FNXy7OVAfwOLxpXbzDQe0hk7XzxzcEk734kGKHWvlduATJ31ce9Jhpe4IJ3qo6+q9JDW6c+lz9sw
wRB2lfjehIV0tVNOIXxz0jourzsKZ14YKmj3Jgfji74C7w6GGZcmaGddCwuopnqgNdqj5WT2CWUW
Ao6qwelhr77oeTJ9JAM8KizLeRmtyeqQHxgz/8y3YADk4vzsxnKnoLfc1PSdBAgWH7qJyw/bKaBH
ZOeiSL75A51gXYxHAIcBLVRaNe+GWdW7BmrKzo8zBzrieJVrvUUT6JgsgIK9/M32dDjNmvsDTh/T
oMZZcAk73UOsSnFxOPXaM8dt0LOuxaPN2zOD07s2C0tEuSF/zZULG7nHYV2Ien0fZyqy+cna71j0
i1vuEiIs1nF8IIIBTnn0HrrOz6LJXr9rWChuxJqKSCzrcKMx4YmUj9+irv1pxwRE7pfKuq9V9eKa
cQPkALVYWghAEvBbjXrKlsw8hms5CI4cG7jXihzdLpdhkVSFHXFswpC+lJ2zXjyozPMJygE83x0y
j64HsUY51nMxKIsMJrGUQSV8I5ounBYsQU9Wn3sJ5ncjnz2pntwF9pz/lXSyv1JPWrwloOwtDOWP
Xl0flMQ+8H3WrMTbu0shaN/1MIuEWQm5YT+AuiNglcCH3CcF9rkHWdj8l2abyeTG6SglD5qqr9Vd
QnsvgmbrdEN65ceaJM41xMp+FS2o65ziy1iDj9XPvnjOJ6XZ+25mjvXhfmXE0jEdtTO26S08Br6E
QuCD4Q/Fq2a3xaMvKxCn+hYNbirXPkrI1M9uvGg93GYRL4GaHPNsz7IhXrJKAs82oL+DzZ33rETc
XYx5to9MnXSk/GKhObBafeMJji0JvKHb/rUbO/EjNFv10xE18+sa4MCeHm/z1JQzf+7EuD4sptI6
4ZOozxS8+dFYTQiEUKwJokI0aq46y+Iq4gLB3BvOAGyR3Epkt/64qwcdTzTiJWpqTBp87vmnjuHL
4zroMZ3KtTZRqChVdT+bVvvLAk1w4YNkyb4QFtzgxa8wtDtJCSEKSPeJe5t/W9qZ80axDp/PpE6Z
wZdb3cNo3gQNAr71DlwYv2ZrY/XJcbV8NvVxviuLnLyat1bNY1KlHLgHYpoGiwccSt7bMvzax/9z
CvxXp0CsDv9w4vknpsiMdp8/nwK/fssfYpru/6YjmZkWyRxjS8/+t5iGzgafgvITTmGbWxK74h+n
QJdT4Ga89Ta5jF/hM/yRsqW+jDwRXbMM4YGN/VuWSEgcfz7A0K/HlBk+AtN9g4/3Vz9z1bnDMBeO
uhhZC3ScuaYimgbb2nYanRu19EQFM8Id1+lQiKqs9JcRV7QBMqethidRWePaB1yGdSy7FOK0KufV
qbvWe8yAbrO17Ka8hg65a9VMC7plKgbLLLPLMdeUggEJlEZU8kQVcTVIfD4j8Zz2ui4Xsk9SZmxn
vtfWFyIf85lDldRP2OOW68WK4yd6M1qoGc53bWjkQTXSpZB79kMMKu0FhzbnJZAtRmDbhXhKnYyX
KUtZtpgNbYMUr5c+Pq2O61rZrxzaHIwND2sh7Tf0bNYDIC/yOqMFs48Ys7EiQRni3umbiY5jcZbk
cGRfEgj2G7xeVdK5Nz6cU6oksAscOk1DFnHaZTxgoZATvnwoUWllFcc27tU+X3sXbinMcibBFund
XSVjeSvsuH6Fbm88KCet5QE8yximw8BOkbQLzfSw+FdwrhWlAXYnv4+9tTzHawNHFjtUO5/gWs5b
87HNX5TW6kl8h2jbXZSNoXMQTh9ZRiEjIpidAbu4vygCaW1I+ZWKGGUimWWFsk8O69Az4Zb5Ir6m
x9DzmCSnX1NluQ2YNfiF+n3H1Fl8zZ/NbRTtfE2lZT66QfY1q7a/5tbe1wwbQQDcD5PsY7eNuKmz
Y9ottsG32kbgNDMyDV++JuP915R8o0p+unGmv62ErfeF3ZN73g5XEQPe5a3alGiGrRWj92ZuH426
T68K9IrvWLqcINaBMu1auiewnTBOCEXv3lbVwlh/G/Ajprndjh5L5v5Qb9EAAGl0+0UmM3OI3r+d
N7Gg22SDaRMQ0i8todlkBac07Taw04nDEOPY0xjn4jRuUgSIuPjHZvbBYQl0+p1yHlQLNBhZHJKx
E08xBtiT6iuSkCXcGOyQ8fDoWfKnvgkhcpNE4i91hDcgOxFTM6vd8qWfJJuUUjlwj4pNXtkuFQcq
UZw4sCn2MkJ7k2KGL1VmQJ+xaQq46cBWvZdjFYeMVZfnCerVMf7SdjRNR+dpN8lHbuLP0sz1TWfn
KELjlzok5JaN2yQjI42bb05C+lBpfn2qKex+GTl4zoggcflQbNIT9QXtQZK8GBu8jL0bW2zfVqHf
QyNHdvlSsJraAmLhEeWMr9qtsHwiRXvLeMVHM9HLX8xVlhP3HRJpaZcHcl78oI7HnzkzZ8bPSu1s
j+lzXgLQaCzxNqvlxS57e1cXCTwZXwq3L8IOCEhSMlLu0nZy7hRTI6aYQWE709L/x2Xy6//HZQJS
83/fFp9+zX8OCvz+O37fFX0Tzz9yOWqMg3PCtJhO/J4UMHTnN55cIKNI9H/z/P99V3R+o7eLXwLp
xD2FmNjfd0Vh/wYyDq6upYMh+Ioe/N//8yd1+G/FrP885GNwQfrzvggF1rbYlCHb8IGYKPxVLx4h
8nZNo5/wIfYvUmNsO5TQSrfCYsaWXZRqBhniqikeXOVdYyWW3x2Zd48tV61O74fzRP1e0HmE276q
jBcQjPFBbu6ICeHybXLdBmmv0bsjpRYsBLZNLO0OzO1i3lsWN4wq0OrScE+r0SN8+Ewxmm9DybAc
ebZYG+bWBYz6aw/j69bSIGlN5zbm8xJaYOWK3Nqva6ITOG1V33ffoHeOcIBQ30uDtWx28LqL2B8j
N9WJFaalJdrzaMFPQN+oC49byiyWBbQzlcjG2W0W8WyhkHX4ExuqS3ejBe/+ACFnsU+QDTB+BZzK
3fyJIz3SWQDaXHbc6uzmLecw/pE4OQPWVQxM+rfFV5fc8gcUtkcitVxyRz7CcKD9R1wxHFuH3eT4
6VUMdEbuFILbsJc0UsmIzquFnr4mJ5HatK9MTsaKgnZz5EQxe8B7Pft1kbZFrC1Jj9mQPSZliegA
u+26E3VzzIV6zpvMPOSj4rJf+ckRUfILUJekL1jWGL0vhDZIs11jSEBqm6aXIamYjJTDnVnNKfqY
9JlxJ87PcY6xCE7qdQXMsBOdvytmk2r14hn/DwQE3yDu4VnvSYYgbBKXe1wJ86OvaRW+R/GsmXUT
2C5Fg4ObunuPuRAVqA9yzZ6dUnw2ZTZeYZBWAVPfmzXt3B2T4NemGs7UvtXHYszYujEuzrS7BMPS
Oiyt8Pd7aOopnRRBIYrnVteycOq1JoKs8MvJaue6ctb4TvmNEwz61iwyTTER5Dgslqk4WNLiJrFy
FMlNh0MY9d+JEZcIBzK9xFPZX3ujEpFrW/rJbbJsX8+rHdD3jOF86Lz3bBISw5CdvXspecm5X5ao
7WztgfOLxb6Y/Iq5Vd9yo3m0x2x+rCtUUb1lto1ykB1rfL3BlHG5NZuFzubanvajZ1sn1oV03/fC
3yeU21B0ofkH6ahfjV3AJ0jHJoxZO7BdTlnNlCV7b0yr2UmbsXuS9MTI9WoIG3bwYKhHeidWzQls
XaIGYCEPKNp7MrDxklEpnrUyPq1rrYJqaLuAAcILWXUdrMGcn9PO9ncaxbGf5mT3P6bV3eXGGOSF
sjaiUedYpOZ1OEuymK4c2o7upqlHADGtVftsmNOZgaRW2CZyyVgp7HO5LrhJZ+2IkXZ6WAyp3MfS
Kto7woBkAjiCZDcto+S92WReFLuxO+yMcsqfhs18PurGmhyyvBHnekp6jgvmyJ/Gg1WsoF7Gn1PZ
mTs9lvIOJi7YBMljkfjY8gNvnpePrmVRjRLXWs7TmNVHjnvEog/I/dkMrsTR513Hpy1Im8NtMjgt
ZyCm4nbvAGpPPzGx+7xryu9wI+jAXm4EYtAr0VMlxSa8rXtDVjrYXb86qIyJWdpp4qCLhr9ZoU7u
kjsHN21YJWZFk5ueaJFtclo225WZW9uZUeyvBBCSOMNYv36fsc48u1kLnSPX3nilXsSa6QEJ1Saq
6Bodtc66yUFwhX2JKlhr2QcIkT7MRJs9V31ebmdyO7sWTKYNVF5alFejMu66Kv7WlaLwwA2Y/qW1
yuZs+JgnXEIynPvbB4bz2iNWQvdNVHYWJoXfAQTymYtMCWH3QKHjRvHmCF7KBQJETMJhjMchTMZx
vEHHbSK+Tr1vvkzG21tbWLGDQVeiU3fY4zS0RQRfeQeoAJFrGY6K6mBmTbQKs5esHtYGp8bfsbyS
l7KPFLf4P3tBaH7eVPShMOWRlvfvDk33iKy6FoGdO1ml4TH1YHIejEY7fsaNZUX0oGlMLO2UqeNk
hLW++lHbYNddEuwqsWWwHnjLTaa84nbVdHlNOomJ7zK5YVbPIpgHTuzSFVM0WiI5pL5FT48S3s7P
8ykAynTAktezBo/XMIjd3YrNKsCSyJM4AhYbAREFjurtICFbB5ccH5vXkESwKq5d9IUdu3k+aEvn
n3pAQ4DLZmROx69+Lm0jI10zuVgaFM0ShO9CfE7oz5AAhyeferDQ9Ar6UiFFYVDsTvBzGBpr7efc
ud+qzG2i1VcTI2RqrxWVGzvN2tTMek7301TNZ63oPmSxXpdjPF0ZM7Ii9WTdDjB6fSs4mVzEvEVX
9IXcfTbqp9W2naOGpoP8WNNlAnIS5HRB3Ap/WzAVzAdFVbDedc6PlegcHgHXiNJi/CGaoriy2zgO
jKUug9hUC6WAuXHhGRgOFLEyli6Kz8kp/f3crj+Slq9arIS1gnwhg4ZLJhYBbT9893xgRy33Hb0c
+7u4EDFFJ8ZwoyxPsrkLyKx68gr+9LP1u1/WmJV7eudmTtnWS8UAcEfwqnsuPb7USv9I0EJH+uwn
S+zwHBUh+n8VuAOFMI1d5ve+aNqT7on1IouRb4Nb4MSK8cpI3i5WKfniLQ0bxmhuXJp6x51qChhm
sq47Wfku6lHQvwvxdrIqZ58DaNqBOaqZVK7VRRhCRTQuWUSqlnd6yYH+wBsjlsJnUNRMRLrfec+D
LsiTmEPDN3RFGwpSFxmFb1jLx5djkb/y2hfj9ahq76lzbX4vBsnHfmtoLmek79JP7idumHc297dX
N6c423EUDrXkxhLNcDQnLzG5i+Rb0CbmG51mqfXNtwsF6tnpCbB4kbXGpDQ7ggL8pKUCq95VC/WY
0sfX34gPsKe1HSIkUMTRGs2tNNbxqK8zxInZ9n6oYtBfJ33+mVMvd7uS8c8jKVN5BGpr3tqVIyMD
c1zNytqOkhvnsvMFeWiaW2yeCL166KibeFCI1vqOVZM8IRkZsbOtofwcekzZ24ua8DPFiItF0+2d
Q9saNq8MRUZE9QZ/5Xor2OaJ7Ty29IHs3FG/MIDKSW34iFBJdy5VGq9h3qT4rxLzo3QG+5EhuPhp
JLlW7VbLAaSgZdN8avGlAlsoaMZhWL/MP3UISiG8mOFxxWuH/jC411vPxsGvnTvEBtJWmKlCyXYw
Hw1tzXmcHel+xInLrFwM7q0/2tmL3fYW1s3MDgFrlZGdme2ubaB0hH2H6wrWWPPQm1ZPTJxvxQ2h
WWQIPcbN7I7tRFqq98YqlPOw3Nawjg8JrJt97KoRlIEhopbPxYzG0Q65Tb/voXPL7IXVrHhhi5u+
l+jsj0U+xkc9d7OTbjMeoQLPOXe11NBOtYFZ0eKo8jkRCKlXUsPd6K9pf/Y1zHFBqqsC4b/04fX0
kgkQ+kzANKzF1ZfoEdST/n5c5/EF8X/6sFsl6Xdp/Cvu4eMtYP/+W2Pa0EvdoWEUZHZOWFQ2cxpO
V+uzD3C9YfZsD+oJ5UL49GlZkx+ufms60PLaRUZZzvtwhVqNtc2LS+ebir3V+Z4UWraG0pvZWb3J
8nkR+3kMlt6Zk8gqLIckbZG+Ym8ig9K40yNRGkzgQ1pr1yXq5Gtc2fWe1BmtU9U6l6dpqnUgDHni
BbA9NKg2FRKKTm/yveQ/Pc4Vy2tf+Y+q4mw8ULv4Xlc1xbCpm++JsCVXfc2RFOw6w4axktUTfC/G
4rorDsqrigtAVSY01ZiGDaEpZjtrOQR239p7ZdTqnl7nvg/tNa4C8tdFJHNjulQ1dmIL0vNxcufk
TrRmvDx4bt43t3OSznboJ7POGGsHD57e6Y+qTf1l8IJpEgI7C8fNzJuSAHKysh6BTjjFwDK2NJ7b
D8fcTytyt7RDrVekwrSdM+RGVK5t3YfmkLKOzl5JXGZwzOMIBPRFeFk1hSsNP+6xL3gX35HO41DX
8ji5ZAw8O0KQep9HpIhUiIwkIcFrLp7qFHjmRY5ae5wG33iYu5G7gNFpkKecNJQEB88dDrxTzzMZ
4hTMLi3kz10sJvez6hvrp14XsEV6zM/5Ya7ap6FAmXtlLIwD0vLV9cj7iDtmXe3QGTzvV+O1ydGZ
Ko7gxphqO3La7vOaKz1iALtSNzqUxX4Qw/qmc7C+Ugtm1ZL7MUMrneinNZ1X0Y2Q07L2ezpb1QNi
HvGmNlM75sZtaKcG3BEjrXAdFwMEET3mdIDdDroRjYk91YE3ltVhPeQzfgMiVUXjPPu7lTrpKGGv
43DeIRmKnmhw6Z60tpZhw8X9YUwyf98Xunizrdk6VkXfBnHBylQSgg/crEkPWWJKAKy2dzGzyuHH
O6TqvfQ1eSiFdWvOqf+h1/2t5JME/aiLXUv91bEzyo6j1EQpKVfaGaXYUhHPTbdvfeJkXxjImodS
R7rLEMriCuGuZBuPZ634MXCmp+bXrY4aLcohGg9mYuXUmNvKEeKOri07K8c+2MQkoWsoi7cj7OGH
VqVH6Pbl9VxMJFCTGlMucYcyKulQ+dVSEn0dx1nGQtslx7jReHcHFn7APSiQKb2zPRaovhglm45a
7tNR92/knBQRk3nnCHDWjkRJ6lkfmuac6cad51USQWmYG8wAyRtG0zysgbzQa2p03k2hdT2xbr2I
DHh9AQM58zXxDTcw1cB0H6NF9aq1w2tnukUAgv5A9N/QA9SED31mY8Xlvp6oUEbg5OKZBdKGTjPX
SblbCpPpA/D4kMKvN5tmmEjy0wpEPX9vPS4RCZnutfuo8/I7Yuv2vE16E2GXLZoAjGFEPkkEJbbv
c54NZBQGKtsrIJM7zsyGvtvQimXUb4bDxJq7SwOKiqdlcA8Gvsed6MnolklS3DF/0PVwsgi3MR/V
iemOnLdzXZKX3sY/M0aBk991aOZor8ck9/RfquaKBtdJHlFFplBpnbhnEM5EoO0hWs3jGfsZGqpX
0LnZoNKlS3vy0FrZgLXiLNxK3q8FldtJ1r1zX+MoBlaLpq01r0711Mpil2BSfqEseqATU12b2CCf
OUo9QbRCsexH9yp1TLWjV5yDY0MYVq3dEKST1oe1nH74Rnet8LkGaS6ekU0IY0jL2rfkDnbKNr2X
dDYqUEh9Hfq6J3diiu2ntcHaa6+FuKqX9JJpaBNgdY7LkD72jvEJ3Jfz38LpCB5A/Zg24tVMjfJk
ytr6gH/Rg2rtzbDVqufZ9czPtq20dZ+QeKfArVUcvucW+Xl1qgcq23FZoOYagP69+IfUpwLHgZQ9
A4pFPXSGsTZB6cUxY6dRqb09AA7k8F8Z3HFmG9SG6T/ULFgEHky7geRHK9qEzIMszZtQRY5e9GdR
c5RcAURz1YlDflSte41Fs72ViBR4yyGrBYJeTGioYi3rSHqlMUSTntI4SyztxD/wS0XtfYpEPFhQ
1bm6ZOnZb/XivNhsroapfsIAm7oDKKwEyOBkBa6LZ9cu5/OKeZpX3Xju2ZJ2JYyzYBLbLLCtk93i
T6jYhgODA8hsEGeGfRA2J2GswSwJ1NlLdcyb6UizxI/EW88zD/yuzFodfqd2HdPWQE+P3UVIdmcw
D+NemYUbYdcuz63N+K/zsTfWHPUJss/gRazu0ify3s/xbVaY3ad4sSN/ru87q61DBjMuhEzcDq42
prASCPe7a6XdKmG9ZIY1XI2A7UPVgyhMSrM+pDQ4RllTGcc553LW29NwqsdEZ3IxNoFe2B8tlWv3
k4bBFqM4bbHN8qNIDCZn42Lu3YKsOpmD99iWxqPy4HE586L6HeUJUB4GVz6y9uGzdOx+5xJ6Ovcd
wyjdyHdGrFnXZe9pzFmyTES9Th2d79TXJCQwdK6mRbwuU/4UuYlRkaTQKQHq2B8Nf232Rba0b4PR
NK825KcqLLR1/Ul8DE3OWArtDUtOfwsXVTvmbHh9YLrufPSoi7+4uFF22Ply9KyMlAkWjMisluWd
cxavVtKSNsoN77ZRZny9jun0U8ucz6Q3FhB4qQZDjzH0/Uo9+c7OXCwzbaarb6RvpzshUmu96Wev
aQPlVs2BKeiWzhjNNlxXfLtGA72N3EA2h63IanJndOztsxZIuEXp/Y2R9bbc2WwGxyyWT0tif+OE
YD9iJ2v2SbeMR96DhfTWQKWy7z0reHxBm9biEX0THF5q3nrGEL9VM9WkeRVD2AX8lYVwOgrtSgkO
NZcSkTfoIDVfcYYY531CFgwUceZMZwveB12zIwX1hyQGrMuQqCTdwyxsa7dxDPwZa87xDoycvXNJ
zDz3rQWCovMwB6PO+eTtdWZ8y0agW1gXXp1m9s0bldn6k+QLkE3opvVl2kCRvMbwaEwG1BDQMT5f
m1M7XTCF9d1Ob9UIgrbOLmtLiVTIhuUHIz49TkwgNgLs6hWNj+N2EmKVea2AZf6w+hSzWTHl4xFT
UxN02txxaPUsD+oH5ao7eifmR3tqR4ZPetE6BJooCmqF5j+XYkg+7DTJk7BO4mQOmaktD0sh54KU
XpVFKyUBGQf6rQRDsEVzBK2wjpjtp+J4DfOiu99YmliKHAAGaJqh3U7qkGRxd49uKl6gpdSwAS0W
7LW3jbuhg+2+hWG8h8Hu2U9Zy5q7ctXki2Zl09lEUpsCHDPedb9o40vRavqNDun9IFoyA1xeB/N+
AAX24INiq+DLx/6VpqWCRgLoQ+PgyUchTIah2JV4S5uaZTWobK8WnBnTNMzsIeelVNSWkP1nKhiY
vZ/kN0z4R/YTvzfLq9wQi70fHWXzk67yKB77BJREMdzhksOF6iwb/Zox1BOk2uScWyyVdZkunyUZ
hNfYGDiorQ4llUw6+pvUR4kMkjzrXibHpl1BY9dNGovNjEcq5LKTRXoyAIXVlKcHjEaveuJgJ6lg
yWBNKC6tUdcDJ3tDv9AZr76NOR11rLJZFaYaBDqnt2KWkxFoStG1N3SnescqNZKIlE97wGBF0IWW
4CTQejVee2Vlfmd6q7GJqfZJ53x36ZtO7aeR0z/jTJcpjZY+LGkucYYSQpjRMnZJO1TX0+j/1KRh
wBWs4qOT2lQJLatx7UteDTMXaZR1uJhSw7urgdZSj2zLs4NxDSceZh8L6DIPje/umDf354HU07XW
u8WFpO977c1GJDG2U5K2vGFCS3egl7kZeDljRSPGk9v1y7OWmfHe7Q2iTAJVWONBP6SShL/sF+J1
Q8PMpilqEqc+InVqzkbo0PZHwwHNTJSf4ccE5LvjqrAel352sDYYw3TnYW8UHPTKMsTqIcuH2U6z
cEnZbHJSZhAYV1lcNLfDMo98w4zV4KTRpHujwAqP7/PGLlb+vR7fD+a83CqK6gIhi2d/EN/NhMXa
1uoos8x1ixG++TDyAp/yn1CpNAkHWtvD2tWavTAK66is6oAr9mGlfihsLNve+ZO+boyYW5OekgCf
xAtBxPzOSaZjrIkjB6vxIFdL/tBmZBBhat9N3dD3+soJee6wPbaSjXr2prcK/um9mrr7qRHlEuiN
txE/t4tgWmq3nunDSNYF3auQQi6W1D4szZ2uYcZTsMD6H2TIYAx6fOv7qMh3JtV8kS12jr78PbT+
HzPXvzJzCV1Haf5/e/ppe+iTP6MRMMhvv+cPU7/+GxIztzpXF1i+ra3F7Hfh2rN/A+NlkdB2HUo+
/2zq/7tQTUkCLWcMxAAruMaGqPs3dGpcX3+WqTGV/Rd757EdN5Nl61e5L4BeMAE3TZ9Jk2SSoptg
SSIJbwP+6e8Xqb+7JEpXvFXjHlStGpQShAucOGfvb/tQ9XxbdxBvmbaj9Ok/+c9pw+I3K72Mrn/4
PKTRuGglYxDH1Z+o7+9oBewKvaufvNx4QkBhbDp32sixP7ST661ndih7C2TbXmb+zNeYvhZYYxyK
k85UUavBEfV+8z4F4EjLyCVly5P6pRZm1QspZ/pJMydzS2bXmTsKnBNg+YYcc1BpoXuiA+PdUGAA
IIZTS0rgwK8Rl27Bgl9LzYTTM4jmoLeNCl4+TtJEHNQKBmkZD71051u6rvaqdAeXImzo7s3YZwc0
jQHWQbpfQjNuAczaW9mGj45geoiUKNu6eRZdtXpsXCQW2wsdwekNOs5mbQPyukFwB0Q6e+hgqXQW
Btqpduxd7vZfUU+iObH6ASNzNX6LCz+8YKI3LywKRELKamdLi01fN6KBMkyBsRzYdKzBrL22yWht
RGcGqzhl+Mee46vZT3SY2/6AwhxjWIzELMG6CCy5CNfcVfrYbnHKa7lpswkDlnYMlAC70+pxV1k+
piK3NE5+ZWZPLV7zR7tPNrk/3M5Gm59ShIOXceY19NQ9gEFLZrJXTWWFA12jXl/WRZ0+dXMZ36ZW
JPaWJGLQsohmXlRh39zVlhbcIXywL0Q68VHScpvESnK6L/E3x9dNmQ1P5PvIV2W4eBhzWO4L6Id0
oxhYXka9j/58SMUe5oB36w7kAhYZ4Hn24jjGWsurnt04QY2WuH32UKSFfQFP12fil+EjLGY+Gdgx
y3QT6hX1M/XvClOUwcXzTbR6UUd0hjSr4tDQdKcCKlHqYk3vaiZghUt3GR8xHakSl4PeliXhdZax
MQc3eXFNEglWYwADHzJi8HB2JntWQCB1Hpd30P6Ma8sZywsxJP4l3L/kpSIOGUSN4aLRjdPZAK8M
6a/VrfGGL2x83eGXLBjviRHnH3rCecibHXZqkn3sGLh2U3vQGHQre0CQrH9rOtfaa7ig+azLlqva
kD8I7mK84QJqSyRNSj6o68Z9X9rFYWz5SWZoU7cibX66MVFfPNjswdKdLXtOvp7C6YQpjL8xL/Xx
hLi3vJClzdbdQky8BunIDxrtGNXIL9EpTz1f87HNq2eKjHgb08JHLU0XY8U8nL6lGyG6puyJr7GN
yVe83P3W6KzqzR6b8SboCKM6/2VJkFTehskgP58hybkNZzqAMXwiZ2kFkXcrRp5BoTTJWR6JQ2EX
3b1MBOMTBysaYeucOBZ2il5UXl9cOr/v2NeQydk9i8jKY7TPGIdUgGQQycv5SUvslqPNjKY75mEm
KZtKnw1urDwOlUo1o57GMDPX2QPtSvNxYLTLgDUX7i0QLLEv02A8GSOlX9NQq5hh54pd1XNTO4Tf
By2fuWtmMJAZSf/5tXUjgM166bDJcaaLOjDMU6An3mmotXwd8USidPHt4MU36RwONipr5Gg4b7Te
44juhJc8CyPtrpxrGKJOUt5B8vK3Zdb66/Pdovld3sUhzeSlTIOipTbqvWWZcOUmV9iXRq3YzI6X
ERzlhPw8dXO4dLORp37mv2IPmR/qTmQlZbxkNnYti+i6r6cbqNH3fY1itbfLlwJ3bIgxaEltb7bd
UR/Cm6jXUyw30S5Pmnd78C+I8GWPpPlY3t3TKK2N1Ufb1pkfwkY6K1sfvUtSOVjoAnudSo1p1US+
FHKZU8t3rFuYVgmCKjack6gSmrGJcQ37AYeF4cGQQabI3hDTfZwzM0aBO4zJSgblwSrc4MZotfFo
jCaGyTKcyLjwnAgPVJos4CGKNQQdZosVkMe+Z9vZemkdrTQMrEU4LnEHvzFmQZaPyP0imTu5JlKP
UCnT/t4Y7a7w7Fs+k3hu+s46QjQLnrXQfJKa950wYjZHBaQAErZa0JBFv9ZyizQuSSDcAkduv6wc
p7zrEKgt+yiZXxGtLPGFQHMGmrWpWrQpSVcdyI7YWkkbMVqZucGxY2zGGsVMMkzpZeoYX5yJtqPr
1/t0nHI1GLV2ZMqkK93rqvVYpGQA+9DTQhj7aIKfa52O0EhiK4E8untoePC3CUoLNJzBs27k9ZJM
r0VnTEBVq1MVe+5bbLrxDmex/uI6GtTSNL1vDZl8hVRnrXnXMVVbNQ7xjg0NdlMyYcCG1ot+nlkP
rD6jRTlbKKHhNy3ncmX6wV2dy9doagPEtEz6cVEN1doK+xijQ2uqMfXcdGtw5YQaGQ7yhSG95bFC
e+sEBg3SSayx3xfodjst2aVFWq2E1OgbG2b1JkmwWyNJos1LiW9V1dcuK+mdetInlrV/0gNUXXrJ
1943axUJ0H1HEP9cR9ZWn+qAHlo1LSyL/p9tYc6mVNeuGgEzbCp0okKCcZHERfgE1YB2lrRWLXHj
lwNzmjVFgvcqXLs/uXZsfEmnWtUQeBSXUjjTYSCYGcaRSfeebmryJXFhagop8jcZuMlb2zQZ3ica
REUog1XZa/2Gb/qwSSX/NmRUMc2tfu0GSXkLkWJcQUynsrLwbQHz966rvhpekAZkLwNe9msHDOrS
psJa0CKbVxlvESt5G3fuMirQFARp7vlsOJPwktSe1DhIMzDGRSRn59r0627jhXWu80qED60zakcH
LeCSHvmI8AR1osqZ0dY9wbaXrt0gOzIKXIhlbVfQj+aBz+DYldclbvKDwLlP6oetEBV18ODXcXsa
UljtayRbxAW1fqFdt6Fn76kUUtrhZb2ORxTdGUhXsY6a8b3ITfNoED38ZWjiYQcAp350avp6GWvh
KpyVic4dyHIQCCug+u/TnCos73vtoJcsYJVh1rsyQCYHnD1ZJsEUbOhgoWiqs3o7ieybKzNmhk0w
HFNH06+aANZ8ZpXNtjYj/IVDGtDKaa7GMtkITdsCA4fl6c3PSdOUFSNtgvTGgdnEbKTGIiYjdkP8
Q7ssm1RsZ4K88ABB9yO5YEFrW1EaZH8zq6FY2peSL1fvHaehzu7qRA47z0q1Z4uMF0xE8m0gEmxR
O1O78Ssn3HRZUBGhBxy6AYKy6pqZV5wMVJRd+okvaHksXCQPld9NKOzod1jVuB2HkR2pNd9NjuVe
j7FpLFrPS7ZTYWyh8MJRNZo1AerhG92hrdXyyUOEmjECSTqyW8bxECPpwFAhA3SpwWUc1ieBEmAF
qyshPcMZkUt6kd+uEi2Cj+tY88lPWV2NC7fTnLhfJ0ruXm3TfEjCWzLB2XT/MJ9xwsqKhhkYX1p4
9qilPwxr7tm9Np6dbDalCkODs8NtYv6yGs++N9D3ygTHdxtHXH52x8mzU44kH2Wbc84eOjUKHnHV
ITzvN/nZaCe64S5Q5jtD2fBwq5aMoG1x1eLRq2eLNlnlnGK/pPuojHyRsvRlmDuOtbL5MZ6aCOvB
+mdIo70alB0wxhfYEFSyHug1XHnKNOgq+yD0TJyENp5CX5kLB2UzDJXhkFhfa0UewwtR4MGizrvk
66AMivHZqwi55pDTsKXLpOtwFSVSlh5ZXKBsjpUyPI4t+Fbd8+99ZYaEF34xK3skNt9X1xz6BfNL
gNQG+aNMYNHhyFXQxv5hCpXTMjm7LoEHtN90MbSvbmonl4OyZ5oeTVtLWTabxL/T+45eKHCDGUcn
o3ykiQHGmHkW06WIG9pTygaaAfy5klH+nQ1oiCjCBP29GNrZvgCJS1wYbtJa2UoRyOWv7tlrOgRt
C/Qk7jeNgRWV8sVZ0+UbT1DU5iU10MlS1lXr7GI1lKFVFz68YWVyHZXd1VHG17qyisv57IalqZwd
U+LUQBwpu2xRS2Y6gTLRqqyZlO9gg7eWrSHNTbJMvVfv7L7tQ9s4xcqS2zYuyXjKpjufHbv92b3r
nJ28nT4U9wVF/9o2Zg/tSFtuJAsjjJt5H0+gPCuiR/lAz+l1HCLKJUiPLlXtQhm3i4gcJfwNTHc4
+LEOKUqS0kP3W8R+e49LvoHi0pZ1AWFQ6QdaZJmIgWlPMcqno9rUsn+PZJ7vXKuNdw2JJrtRK97S
ESKNnALIHpa8TJsuZ5/VeCcn1/ubMGqrE6TdeQX9iOo2EdrCDksPWK/F7Mr34AlF8Rc2fsHK9aNy
A8rd22f4MP/XrPB//r/MCgY4WOT9/++uzwZQXfz6q4fvx7/5V9eHn9BtagigTPYZvvffXR9XuRUc
lRZpGjqgAzow/23iMzDx0SryLX5MJyKaNtI/Jj4wmjaaKuwNOiRGkwbOv9UG+tgEcixbEJVp27AI
6D4qL8NPTaBwGHX6mQwFTbODpwoZG+4VsTn+pehURCSlQUGVivJ0RbCMt/rpWn1OeIBpBPYS+IGJ
8cLGnfEBJFHXfPh7xEvboTP7tTvlDglLZgZ6Pc53/8GhcCxCyBAsxx+zQhoroUPOdHcrDFAImYkC
BI0NRatn1P/BWXEp/XMnz/nNFzkbY4pWXYA6HscYctpcr5q2TZft6Hb7v5/Vhx7e+QJanJMg0tK0
aN38evuwCdBys7mAfhzAC51McEqd8z7ScwuLADtlaWlowAPCc6DuLP9+cJ7Bn5kZ/xwcEIh6imGj
KabGT88OjYMgsKq23RIn5ii/eUQiJkPhvx9FtSF/wmRyFBt/qelidHBMFAEfjiLxlKOLD7ptQ3JI
w7OpQtJt5LiqIsmRjPz9cB9goOfD0X+FbIKxFlatOumfTgpTpIkGoe224YTKAFLxm2uZ7x5h8wsj
yy8cehs/jGC/OIh+jgX6/TLapkk6NQ4kQzmGFD7zpyMGEexsWhqdgsLjR4PNxM3yy/Xfz+sD4OR8
XiZeJBK36TQTz/vrUUQXGEVapx1xeT27I027DJVzzyCMifGh/ck5/ekq/ny0DzcNok1Yh3bWAfKg
dArYuIQ9U9IqOYuYfOalafrt7ydoKl7KxwcF/5aD2ARQp/NxKZui1PGGgdfOiBxxFKVAUqkrwW45
eztiJVJ8jCcXl+Syxiz0ymzZQ9dg7fA9lFuKpH5NdhB+nMGtvo+jpe0nR/j0fNr6bm4mNipIWI20
nj9ZmIw/3H9LZyhgOLT1lT3t1zvjydABf85rFA8dJhCh7Pu03WwaDhrBZLE0cJp65bCyuHqIrUbx
woRzvOnIHrvGXG0xBQz9o4Fl6ZN3wf7jn6bgNLzhNv/58Kclfgby0c5aKtWIajeyV/B3laXDadey
DuWXMbawjw2On61KBJ6HsUDWADuRsicfER33egEcS6pmJOYYC5DfKiiYpxZmOF2Endlcm4Qr7ueU
xlvdq8AW167AIjT+QwfF74GeV7D0AQIuGyZeGzZJKL6sxlvj2T20aSOxlWbdsg1sfzFm9kUk0i8d
QXnXqUCqNFlzummsjnme1h4Rz827OsY2zXYRlAh5sZdE6OqPWkMPDtuatgzs6T2drFPrIVcjRBlM
vhO1R3652Pz9af39BfFsm8KAtx5fout++O6OMrQ7e1A3XUbXWsooP/b0vRGP990cVGu8BMa//Upy
RBBx4J9slBb+hyP6zdh7/py22yYI9oYUa7zL3/1CXDYWvTdQbk9/P8Pf123wAKw2BkZNxaP8sKxJ
WrEkrHUtzamsYugqhn2IkGXt4Z1Z/f1Qvz+mHtMwx9SB37JRdj48pmHHhGOALr31vd6+KLXa2JcD
Yqj/4CjCUSAq4I9cw1/f0xxVTN4OXEDNafRmUbu+tsMZ7d38/TDG7+sYZ0MslEe1iCbG/nCcFHil
4VSKuToa5QqWKfLmMadRKrEJCZz1lBQ8+LprIRnyHmEDbktG8p8tS8AlPiyn0NuhMdj4s5RI9sP9
I21TzHHvyq0gE2g91H62gc7Zbthrxt4SP5rYkyrgI5Yq37JycE+YORCZ4Im7yucZGEtaBp/cAfOP
f5MLvQKiuE/N+uGzEtK4IbvNktsi7Iq93iA304nzmwkkug5IuFli46ieM/CUy6zWpmOHKWHpxLq5
IlWvBFKavWXG2F+nHjnC8/DSwdxFmtxWd1OBlrRqY3tnh9FwKKbsmtSgz4qLP5+Ar0BjlPS8/+re
//ytNxo/n6DrbEU0nUJ2q5tuEOGXiFVsWdXEcJJ3qy9z12n5YjX5AdjpVy9272Xj+CrlLliOgCfW
MDH923J2y3sPFtcM9OFg0bvZDFU4rYY00fhWtNkGWGz1ySfBULf9168sj8VPZ/Dh6RzajD+4nCQW
rSQ8BLNfHFp7LOga6as2bljkO2cCHazvmdL0SxUF/slTYP3xKQByx5jYMw1obb9eRG9iLYFiLbd0
qpQCEqjWN8qqG1fIYgEq6bXM+vHRNY3oOzz1tuvDJQbHaMVAk+5BKDemDpqncfBlD3BkmR+YHc5C
DrgdgRggow6NN/pqBkule8f+f23rCbgmzX+EPEBueG8zyLaNbEcf9avb66Qoc6BQnEklvrQ/uea/
l26ew25QCCoER2e39Ov52iZz2iBhQaiT7LEItm6fZCttRnRdzrb1SZ34h2XboeRm5ylcflj/sKNA
lu8UDYvOtgqLd9wLAV9tAt8EHOBPjqR+6cOTxJFUlIAgU0D/WNgjJOyQ3dk8SU14nxpW+JhkasqW
T+wm7CnFO6c7mncIHLJM/77G/uHr6wABIAXC4sNE4f3rFUXij3090eUWScMzJPyb0a1PugjeM7f9
xpbX+eQDda49fztXGyaBYbLhdj6u6X6vyTGOeWTZhhenzqLuwdS/mgpa02TOv0GAvS/jjJHAVFHc
CC9e9jJE/0y18vdT/+PDZDuCL4vlCkIBfj31uEMSEPW8v4NXtiu9cvH5gPDGglWGuKKT978f7g+f
ZkIdLW4zWYzAKT+s2I6fwDTrRm4ysq4txotgOXde9Mke8Y/X16CTwZPE5UVc8+tZJdIIMY1Ucsse
uVl6/YippUj8pRMQsjdAY2deg4gXT2iGsSIES0Qy1HrstYt5dj5bI3/flBOzwK6QTblwPfvj+zow
tWYCiBXF6lt9HYUuyNVmvpp6BrRhbmhLRHvInd3WXJRpp3/yWn3kSrLTI0nFdLjY1O1EsXxYLuDM
QT4munk7GSL6VrmNmi81YXuUKMIxMjolM/ay4wfAkfmoA3qnzuyVnpDjtADqRNLuQLg1VjsrDBZm
23YGvhFbvv79yfjDQuMR6umwxpCDgS7911sWaV482YVTb50xaDadAFEsZA1TLbDjTy7JHw7ls36i
+UWN6XF1fj0UGmrJhNitty3urndhTe7tXER5s9Ac/T84LWpQ6AWOaqn9tqpVRTVjQBD1FhVJc+vb
hrMpJze4SJqWLuL/NBpvfqweP/cN/rCIcSTaIpSILk2tD8+8ORNaVXYcKbYgAQRtUd1BkQJLqEui
FJiWLEQZTZ8sH3+8lOyvIdMiGyMO5tdLGYZ6Qa6EzcjNNPplDmQR/Gturhrd/CwumcwpfuzDqkml
oftomrB3sGL9ejAvhX4SzgaPiGj0euOQI4dOPRLDvGIiWZDQ3khz5VCTk5KN+krbsHPsxjUWWSsn
XtLm5Yoteoz7QE7Zg1kRhrZq4JN0K4DPDqFcQR19LQfmwymUTLkJo0zxAAsVZFdwSpZSlhNC4Pc2
+jcswNZ0cQYLgmx15zWAjyghGjsy7p3OZFqQCSiTm8TIR2dN/GdkPvkDeNM3J6FZEi4qdjDRBcNy
YBlNnDYRTJbSmPZZQXdtC9M+F2tNr4wDhshR20osLPLazsnUxonQTcGtI2HRq4xtbQAY3sh0XHTC
TzFbAFQPSUIvVHiabTHj7AiRv+s13yGwq9DKndHgOsO10pgN3gFgBgjwlc+LWJI9SWVhtfS6EmHV
hJ0hXOfVVDSXSc92Ml46foU2TsrBh5fa48xltA3Q4iLHu6rTd8grc1VhKj2PZjzzqwuNe4Kn2I7M
cUTZ3EFM0Ah0bGUy3QyBixEjFvjuJq323ZNe5l647kBndXuK2HFTe6MfbwTpcOj0kD3MSykTf1s0
SrGTBar9p2smruEayfmXJMLLOWZ5qWb0uNZJrKwQ5XndLX3eTaf0b4FSwmUaw9W2cAgtgeu205Ri
zqr9Y4eEjkHTZlSaugBxXS8ikgWU3g6h87AiHjvfhF1/sJQqD1Pn10Tp9OwOxV6ntHskBbwKSxvW
vdL1SaXwc5TWzxexsxVK/0fFPIPFQRMolTrQbRH0iQ4tS4F0cK7REPZKTYjAC11Y9kCC1tpRekPb
z5u1oTSIqVIjkgdoXHhKoUjeB0wLlxgWiVJtVDpGG0FjrJSN4PmDfeCLdDkmaUdRIV3G3IK4JaWK
TJFH1konidvD5r/SY0p3aVRaynQczdWsp/jTWtx1SRT0hGKRSDpYCPSVHjPwxAkG/7g2Bi8CENSQ
Qqn0m8FZyak0nYFSdxZK51koxefUYjcGTtu8O0oPiqSxWnlKI+qWJcNJpRt1kWPsLT0291KpSmlS
HExiq2K7MkC2TU+5UqAWcbADGHMXd9MTiQvFetBROWLGf8rPs64QJcS+71yC99QobLa1+1QNx6Qa
kyFM8ta6Gp1laogm1DgtUoM1Zp/9Ta2GbbIjqnNg/taqQVymRnITszmphnRAKGJAQAzuitzr34Vk
mDf9GOylP8Z83T9TPypNNQQs1UAwPc8GTR6ex9xEELhyz3NEU40U4eYOz5UaM9Zq4Jio0aOXGnsg
zxPxGowlHTWg5H+UWAW53MEPKrH3g1EMxFURiyczEPCLZ2k2z5phbcDxKi+Byd+8dRX/eHTntNpZ
KS7HVe41sJym0kCDqWlOS8Sv6+FXy2AdaQfaszrCn7JmLtlwpQiZLbLVjI/zPqKrf2NmCey5vEjj
/ZCAALSJcbk2BtNDgQE5Cik7zbgolvo3Rw+oJ8EYVmt31rOLio/sd+wfoYPdNCRearBj63IcpXMn
+jR492nuo8or4GszEe/11Tx54xfmTPl7UzU4iqdcGi/kakBE7ir7yAy/egbOO+Ajl9O2pWK590h0
fcaAAilOQ1OL06A+oInNlvFYgP0RlnykC8cYJJHgZFAR8yREll8/4Qetv9eVSDfpqNVPiEnjXdIE
Lf5D5DQbJJny0S7J/SAuZ0DAGth5u+pmycuRmZpNsoEgu9lxbNQoprUn34KUVxU/z67UbzYp+6Z8
l1cEXS3aOOwf6mBQiSoIi6DEAMGJ4dUImE85o0HyjaNMPYPacCD/ObrT8yjDNt90ZAJxObUHcjg4
RVcFxl2EQGt2iZP2D705dsNVGAThMfYIZQZTPV+VCEMuRST4VauKt0KPnbu+xQq4oBKpDw4BAUfi
DaoXWneIHVCcHMOGV3VdlPm8mXELb4YSz/XWdd3wCP+qd5eVHdlHXqKal4q7SxO+PqS5L44ugQPf
mj5sbsXcGPcy5nrHSUo4MlkUWy/ioqKGmLADmfVthd3+m612mMvCmbFRpHUSb7my8c7GVc6yR96a
0Yga/yEq27mX1bd2qpqnPuK6zq5bfy+NEEXl3EVcVjIkgkNIN2Lb+S2S40HaRzHX2kDssx8ex9iG
bTs4YBtfiaQReK4rc7CEkpEbwXRp8FnGgOgn4VKLvLrG+hUBDvXgWWFLKxHaVsYEe9sugy+VE0E7
trvyxcHEvyJDHPuLSdSVoVQ78tXuLHMdtl4NW10PViEQswsVlLlDXzh+8bSEdREIEU4e/jVMrfDY
+fCdF5FnU4EXusfEwqqzfZOqQJkWNDkxeukQHKK85f8Q9L5KIx4y5DlzVXaLmfecNlYhH4k9nt49
t5evbijsZRBM2d7AjsZT3kExZOZi2ndxHvUPomzRjg0lf2Rm6+nJa5vqq5VEzp3mI4xdVMUQHScn
L0B7iqJ5yup5vPEc2T3oULFPsbrdJsSGSzsxglMteg6UatPGd3E8LCgyoqOQXDX8jNMNKKbpXUdH
vtVGADAYurzgRGIN0m89Ki6xGvOL5QwCz9DHL77ORAY3tNAOc0NLHK0lzi0XGDQwrg6G5IJ+C95J
YmWxOSJiRAci4L0gK9ac4CQitlxgZ7D079GMAc+LOp4kPAoNS68jeNJYs6Ij4OPSAHwwlzealdDE
7adM+aGlF/V7xyq9YunL9r30NPZMvZ4nyzof6nfMdMaDCEnU6AdpvMHqI06NV6++ZbWY30szqZol
1Gj0TU1id2+mR/gU9wzVpVZVXBbYQ43cQvIwmoXKIbifzUw7+a3OauY60Mgrr75tg4LGf21W120/
waYjwvnWQL13DJw63rY+OuxYeiRl4dAiEcTj/S7gkz7WcUwMeaPBw+vZUKoM86nk4mFXuGJPHGyq
LmhYxBzTpW/aWh0DYct7maXXXgd5FW77LOt3wsm5NXw2L61GpAA43TC+cYSsNlUh5Jem6gnpmaP3
Fm7eppJYIVdBX1nfbD+0N6IicqgSRCmh/4Ey0FvO1uB6LZhoilXaNryHZ0G3kaMUpwgZztDaBzML
BYHa5V3riyvCk2NmkXrMXgYSx9D5yXVN/0fvIqwQedVw2NRBoUykEHFZrBvWzHhdj7Wr0dGqYwHV
6M4JzHLvj6iBWHRz5O0Fw8aaEIa9HbeHfpqyVcy7eaWHQ3NZhG5xgL6F4cq0KAF9xn+0UL/6gEf3
qVugmS9767UHm1qDNmBJI1xztkAQFo5RLZFvXeADEI/U2zoRhmP5zR/UnKmEdUtneV8DqGFaFlGQ
9kk5PXrjEJ70Iho27ljtnBIehD8Q5buI63LnDfNX+n/5c5q7GCvckotE1ELIQs8OZ+lOEyiIJE3l
PtV0KHCBRvJnLqqN7DoGX4aih2PTuRFeqiM4TuRdV8OoswY/PHWSg3R24N50JOwsaExP8HwC8ZXU
LOeB3LRsF8fuw5jogAX7MKIOpJRb5PFEGEU8RFexR+OmNMx9YM3Gt0gPhk3vafqWRHBA4jEyuKHn
ZZRVBOgVyNQ6nCbnguJCPCbC3hb2WG54nViASwTUi9BB6+7DYn3v0858HCthXPu5P6NayMV9FY3J
cqSG3disXRd5ILMHw3bd2wmN1MbuiWPduNSFiwYL6BorRvU2M2oCsxESXFEnPAZkdYfxQhuLimWt
mvA054lcjhUuUwYI8HXQ+HcuwCYTR99XQMXpIRyKXZvWGTgcoV2WUzLezrr52JLptuFV3JC9kyi2
Nag1TDrXubCDL2DjKDMEMl+WQIi4XhufPL1Br5Vb3oWcFEpQj9aRjWQ8tRr7mFd2WS6jwTcYWmSA
LKayJ2hE47OTk1HNC0cSRxWOCVlulvINJwTuIRMt2JZmxElUC2Zo/ZUftMlTbgpsRQYNeFprBFTX
c0VLo4u18cYPrPpyopnNrs7t43QBfz89+EOsn9D3HZoEB3rQt8vek+lVxl2+kAWxgFKg858Y8CyK
QbaX9H2nBUyanTFq/pPPzJR9ztemLFTqnT0va3DMKpIzIvi8b40ncsaafWm634zZeQtwr75QsWYv
mSRJMpHkZrsZkXzg+cJ163b57eRQsWRkkTD09tsZHzMeIsqhcddD9Y4PmlUOYtW7uoR4lYJdZdFw
yqM2hBiGisktj7RvAP6bQINKxgAZixCQsuQlz5Pi1qy9/JYEcqhn8cQCmkSIJDNpgqWSSfRaB/pc
LU2NH6xRARxsiDF3E1zX4amh4uG+xWxyyGjK+EpojrXPKo8vij9Wz3wt6Z3NmQEKJKQhuS+D2Lyn
PmZnmipDS5iO8hVqW/sqO0kTQU7kn6RCpRfIuQ1edDg/hIGocKhSEKcm6zF4MVO41UsRxPgsqjmQ
rwQfEHNjzr3vrufULu4y2BzcpAiXysYN277cCASp0aoDKposIrOjwCkLAhUjkiXIfgzL4MU2bP6N
X43ANFz8ZPZKFDqPUWFBZFn1kr+SkDDkUqsClZa7EObIQZNYFPIinu2WfaNe9Abq7GrA5kTxyi/P
mjeWe4EQ1ltFwp80YHuqBADowCmxmfIvE8CwxcppcorWLABVSywon7plNnbAOZoeeTKkTVIeSfYj
mqDrOGpXw1lZDcLyX35cTBs7NLZ8xpMxcFAdZZprzGO5YD9Rbi3fDpfwrGS6pBfEpYc7XNzZ6MeK
bRYntHtQFmCTL9IRZrpBFwiHByyZDQJhVK1NW97ZA4oKbiHzVoJeahW14Nr0QxpoHMmFRMUAipRc
mQgrddu/9w690UVnEt965WhGdJ9OvbktOuIWoYm7tykmjmBZwZq5JzlMTruRNnxwFB0nvTN7nb+R
qpy/Oi4Cbp4zjYXG/A8oHrGgMe8uvf9oWtGX4Sr2Wsv/fy6w0sXsXuIFf6x/OclevsVQ9YCgdWhK
KXzBwpC7F8N2z3TeH3hStj7vCvp/B2Thmr7gOaSisyO8N3vdaWiiNMxWEhYXLFm86oINNx9hvl+4
MXSMS4XXqQDXmXDnY9RbeAJVCZm5hdkuIP1GX4wEYn+dlfqBmXSzG/LOus1Db8QDmMYP8xwNXwZT
9D/GYP/rPP7EeUxr0GJK8z+t4d9yJI5RXP4cJfbPP/iXANU2BL5AXl++Brws/7IdqxAJ1+Db6SEo
ZcRPN/cfAaow/st3bdSltF3PIlN6s/8IUC3vv8jI0g0KTFRWZ7Pyv+FD/jiuoCvPaMi00TogtUQP
+qGNHQwacn/ylff9qCMPMhP2BFFWBQemPQzHJls++mjIN5Xi9xvDGBwAXlXPPuzhL3aBYVQ4iXzU
LbZC4chz+dOV/EOT/cOQUv11SlZCh0WJbn8TlVF0N4ExkIFJL7T8yks03pz3L1Q0vJN1nE1b2D1q
zl2m4pNe+w991U8NcCAgzKsMoca+CNvOjvFf5AKRmVVob2EfhvS6KNvxsbBqXqV+U4K5qmz3Emlt
ga1yctyLUfgx72YTv4xzMb+6bIf6VTVP1iHMQrlGxZtt24xcz3VTl84tUe4VIvXOJdoJT+OlQbdg
I/RKAAVR/jSWcWMp+EQcIxNPN2svYDWdfTJpOwSOr7puxpvkdZFWLyyE9LBEHfM59MCYlnxhwY94
5YUrxbzGFdydokJCr51E0S80jL5YeGsf148fRAmJr0LJsBqNIFT3vgNmAP9zrvnMu05VXDfEK9JV
0bBENCWY2onPzBLMjrXA2oFJZnaHnt27CgqGQAOOFMjqU5F4yBo1cHeXLJ0B36KpfSSL1VURotmg
L3SixXq+Lp6j7DrTZogyZ8seIIbpapI8qTtmffLxp93qMo5V367Wn1n0sLMXrk5aaoT6ZWCWG2/o
33qQO3mVTmPgQYcK6toB/Sqi9t7oSnSxrTt0e9/zM6AuEExP7FC8aAnsSQYQP4FC5EaqQoeCNoVr
ZzuVAYkt/L/snUlz48a2rf/KjTuHA4kegzthJ3aiJKopSROEqjH6LtEkEr/+fZDt947L99lx5mdi
h6PMIgkCmTv3Xutbs32qJmkqjv4pZ5McNMcqk7PDz5oZzt7FRElbE1nsSrnuqw/bnFrTq+7zSpJV
yzCIetDFpEC3ndo1Ntn9wKDLnYQSca/pYt3MoAK/t4lFCWumO/JHxg1PanjgsFheZ4uKm0iHITvO
WZBtArf3P5hbNvu5NGfgdE2/17h1aatZfUwzN7O0hyHfmSgt26q7CUCLkPQVkPzMAeIFFsnAOSdR
JLr5bvLDUeZ4J2ox0Yqu/PKH5Tug2Ky5tVfQlQC2hiJu6cWOyBxWni+9bEPv4DGJjcy+DHk6EKQB
ctNTj0KW6dSgyapqSjc7apF80CiGUt30OcS3JMLn2svsxjJr9T3PR+R1Y56UI06cqhnN264NZfox
pnS79mE1OtZdh5fsOEN4PhQm4vFXyC4xG7Br1R8zBOGBENVhAloDRbH/VkUDmgwZ9m2yho0KgLkf
GLts6yjQt6MWlV53pt/DWRmpgx412hi9/y291iDqijqwkki8YOnGzTtVHc2t3MAXDbvMpVkWq5xU
vTZO2Ar66iwTBbm9Ne36o6sxjQupC271iaRcnXf5VfgsmvGU8P1x6VV3OF/9i0WfGvS4FfJucvlu
pDm7jzKahdq20BJgvY1Ox3nHowMsU8R72yleFJP1NO9ToDRvEBXqNzVa2AJCd6SnQkVtB9vOHKDA
D+Y0fDUzOZi3RBG65iWMFLVfYzX1hwQR4YJxK+bd51Ie8s0TZDaDte2zgHU0ZzSweNrml6Kj1qnX
uUK6iQIusqKCYR/SGP3hDoM0myXR1+RfxHaEDveRFjHwn1rQPHrF81ukMD2HQXxUfhN8yyJHXmqJ
IbLtBB94xCBn7NTQg9JzDElCS2AVd4sKAxwjJssajbdfPA1pbCEgrnmu0igo7qRbtAQPUXW6G9RH
Iyk5y/DehN5SnktYOdiR+ADcumXjHBAOBePFofWEFdt2o2FTddJ/N8YKQjPXJg/XRGtXAiAG1t/V
kOhArpLWVxCWjfqSeJjzNwGW8FWE4faAHJRHLavVV3xOz6amvzOGYebeiB6mA3hnGzEQLPCRZmvQ
OuQppeBlrDqM1g5A2p0YzPw2sceoXRmGrs5JoeSTlQ8TINI8ir/mWJDw32UjK3InQb9K3GoM/qI9
ULYr+pmQDIJRngZ/RnXYt0FxmEhSd7fBJMXJNor+EFoWhwzuIeYubDU4lQDWbDB7wa8Vbelba8/t
FipqbZF0p3ufznAFVJEFcPQyuRDT0J7ErrObItb8rqSH/LmN/6d2/Kfa0WZM/y8Vz19qx8sP9V9v
eFj/VD/+9qLf60df/BK4eCF8MlCXKNbFpfS7gckPf/GRcOHL4KRHJ89DCfNH/UgWLdJRrCngbBDk
L7P73+tHxySKJbTdUNjEaXzanv6N+vEnQYIToEvHkU2hZLph4P3snuAGakfTjOsD/Si4VHkVYzmU
NMfnQv2TXWkRN/ypHOO9EDJhVgpCh6f4Jx3J2JnGTJxBdfAZIFxm1vVLNtjhi+YKnNv231XILd9t
yaohz8bnMSOJ/c/6B2nYFquYyftRHcQrZTas3dk0i0s/Ld3fPvLsLaWHeFIQtZ/+5T74Xyrfn+Ql
y5sj2PIcjGYerrWfNXJkIuKR7WR1mGXffye9DQJIIUbwE5zBKXPmkIR1859Egf/LJSZWN7Bpmyz3
2s+SD868mVSBXx5kKZZOcdJ/H6sStEeY0jmOTTJl/v5r/uUNUTjjn+ImAmdCDNDy5/+iyM1MGKJW
J8N9YkSUq0HD2Jr53bYMbINs0dF7+/v3E3+5rj7tVQRaqGi5uNbP5x2NwHeOo2lE4DuRhzOQlWbd
zXNrjqtAORy89ZCKS1AwvCSNU1xbMkheqqbx1TrBjUEZ53f+tdeWtUTKuQMZPU3SEXAZTq/aCv7h
LqCN+vNNz6mRc5ngFjRDHvafzmdVGQZxVvbD3kVw7jwZJRlzpy4uEOTENQ28so2FOgqkRgVLd++K
J55BfTXCQu4tM/G84+fUooTw/BHbCJlX9NS4lzo69adyDgQbf1ImxxHGT7mt5CgujMy5Dm3uMi0f
oCESWiRTC0SiNQe7hh7OhT3XkNvBNwnGNDTkFs4f9xHoXopuyUDzazDaDa0U4GgjZ4qWLA9pu9M9
Ln0oP2kw5uEC5DWQnBLNdm1RxXDLRVlrVyu/I31iKUMTIX5wl1L3rUSaZtNt74AceZgqrc6VmRQo
Y9yMWSP6VsDDy0IgdclzOtGhvjdUTx82b2EuTFHbvA3MGt9madoHj9gDNBfj2LwFpT3em6Rvlmsi
UFi+JjMLcXZL9yOQIHuYHdP1JNmvAYzbT1ejNcST2y+ToDl1YRyTF3+odDgBt+zpRtJvohFMnTZd
B0fyTZucgOiyIMliHaKieLEYIBBhFyj3oxi4jsE8ct0k8dpDyI9Gmn34gkrC/UCAMl3JfA63ra1c
e6frtCefYzLoMEEXmq6/3atJFlPkJTbWpdt06XrSV6KeQ5TYvHF4QJDZqZG2rCF1DuWWCU95yFs8
5P3KQy37GQCSfElGFb5A1aP71+eDP22RAHOfjJXnfNQdR3yqYh7+lr5iqLEG4VjPyHquUu4MvJbG
2okBM0lT8/MvBMj7YdDLsM6zuKQ83QzTpozuYVzncwuYSPIjhYlgZp8sLXXVLN9VOWFBZ7GW+8/r
zxkGeOIQgK+guY9/wEg64Fihefn8f/ooIvhVmxnrxpwgJxqbB05G40ZRl+4GzP5EECyPh9fnqEhQ
MEXRSXQj5+ixUwOD7ykIr8DpheSERejfQKo1wQkX5vBd464A1lvTY+Oh48QCX0/RuCsyuCqRbfCC
qkgF8WKi9ylc49KokmPXMam40eaQqQ32dB1dm6ZyC1CoLqekKhn66GzNoX7DO6e+j2ivSMZiFpPe
K21Y6kvH5U9uuorQyM5KCC9CCsTUNRgNZAo5sxQXvI0Td08g8JPtlDJTiUjipKBHe0dS00HZLcza
gJOZG9SMR4ENR6GeTgwMpyevHBh7NGQFeJahLw4agDWZVeKVII520yTaW/V6EncGdqurStqO8V00
uu+9k4cO91encLmF6XQafYNZJSgg2sXkPiARB/IYQGP93iJvvSAk8Y/02b1LY1YhveiFcgDdv+QH
nwj6xEMfpzeLRvN7mCbosDpjiNMNN3d4dBCs4XKm4xGu6G9wXKWrXG2E4Tz3HDnBUrUflfCzS1aY
rrNvkQMuQWU2Nx0xM9xSOkckmwj+A7TSMF3Z5riXrQiP/t4zInZpZts3uqN75VK8v5Q6IY/Nj5c+
hTuOpIfiqH1Z0pAvDMSaN42+r+CYqj6mOohfMmJVT2Vt5U94LbIv9AF4sDgf2oeIBsVNitgdIniI
LSAMo2rDNlo/eTBb4LRUm46vEe+EjSjy6BazGX6Zu0a8l9Iw5sOcOENwsEs5AwAXTTftbIle8OhZ
tv11jkfX26KaPBZhE52V0cT3kv7OIQZcgfqD4JdefhBBtaz+qXjpynDYZAPXaQoz1nmUXOkxrBvr
fTCiQa2LRJm3Taj8R8uj24O0TB1cezDGDXA/sea59E9OVMtgh9qnupsGJC672bFeSvpVm3qiobQa
ywQJnbZaJMzkNoyr0o6qC6hO52shbP7/hh1LPrtJaEVfw0Cl2LXaJqp3c4DKfmXF+YDlrcuNc0mk
JpeuhMgy9278igit3jP9CBC22FBG+Uo3vmgkedxW1L3VU0At0vQL+h9/4jqnJ/akaGTJbVp0RCMl
ThHLiww6fdB2FlwMgihfJCEb5cYg++S7WdDFdyMsBqvcm7lpWoQK1y4G/htPxnIrDahQIAMtuDlr
UWe3uEO7VRby94wWn4ZMsPDcKX6adVGgXSGFKuMz+cjDVmmDdwXTcsUtONm0K7yigUcbWznrvRzl
Xicj6+Doxl13g6E7OIdNASAlqHnnjM2kXBMqPN03Nm/vueBsbnzNPl5L3tiOZudj1hkL/ucS6Cfo
Cra+sUzjtDKL5H5JywF41yjnTOydSRqVO9Oy643ue0UYCERTjGve0uBxP/yC/bFD56c25GExndLQ
apJN0bs+FYPmiHLz28cSlStROyaMwY9En7N9+Yw7T20hYX5pVB79uEzf4ENvBch1fbSU5QGyGkhh
n26FFzOAM2VI58Jqm4SE3JFPnZYN3xX6Pm9ZyVT7V6dtio7dwoO6RCQgUesMDkH/jr7PYNLxjkPe
Ze06bV39GBm1++YlgoVVSwPqSiMJv8pJVevYMkT8pPwZvExtFt7Zme0AGhg+yceC7K5jQ7/0114y
/04GxfyLz0yVgz42fLEmxW0RFJKdvA178WTLdpn4yglanKQ3toxI0+WKgnQDreeir1wPTcBEGnlJ
Xz1Gyy+aoXT6mIeSO67o+BkNTuAoiqzZlDDCusZItximIvNFGNpxl7g5SstHz0YW8Th6U4Edgol/
nATXIkfAz1bVhDM9SWhSOl3kwUYsnunaRHUMlKgnJUdQbhRm7W5TLDQAJYsy3fSKubXyQHyWRkgN
4luJeczRS1/ssh9R7SRoHRPdbhAHhccCUdMtP397rREPHXJSfl6ZOTMC7rEgEFTL1qODch8zkFjp
CVZPMSiX74G+tGLqtTL98OToLkKvYz8ghEw3toyHnTBjsZEktK3kNLWHeuxhPveFuFYOSwzEnl4C
a4FILXIqkt4r81+N1HGJNaujPdLdEol4O6JqIb5uzarwayVRAxX6Lpyws3JfUxgMrUnOUGOSuKTp
MJklMS663E8IsImUi6PHyRv0LmMT3WRtoraTg9TL7J3bCQDaA782+3I1FUd2PvjCwNHh5RNQFsDC
iMPidsA+jV0/0XembuLnBtrZm6wt+1KPJSlqdmxSQE7tTREWzFvHe7sUVyq/amsZyvzVRVt3tO3R
SUGHWWGGHbvylRMFeyObf7itxw/iDDzCO9wMKtkwAKRnQ0VAcozBDtyt9DAuKwiSD6QBycBqSNzy
CZmSgWBKt81tlxMhsCoTVpvUQ0a4nkec1atoKpLuXucqw8pE2b35+2PUcur401E8oBHh4/XBxkcL
4udjP2S5LGTHa/aN+1n0MzyyVnIpfP/+ff5y+gkWKy40D5djP4aen46HTCf6IavpeBdIz4AsYmV5
ajsJBczBnXvynOXo8rkc/v37/jx34m0xxuBw9DiZ4hD/6dTFkbywM3Kp98CxvI/egBxadlMx7ZS/
JIrXZaWvnpewFrfjUuX+/bv/5GBylndn7oXZOfT4ED97c8Bz0T0RXr1XBC4TABZIdLbLqpv5Hat9
T5bcEq8oOZYslTdTPRb3z4/wn47dP3TsbI+J3b/8Wn/p2H350fX/9ZLCmq7+TJv+/ZV/tO38X3yL
u4cBrmB0+Tk7/IM7ZP2CA5HELqAty9DXoqf2R9vOBEkEgxyuGTigP7XtbP8XQYMNfg6NEtpRNPv+
jbadF/yl8fKJx3FoOGAu51P+9GTF2lEFca7JoSv94YT0khkP8u7uZLNx46TpqXrywRZXSld04MjR
TOJ1N4Up1B7tDGF3UTT4O4nW+pHpEjEvdhG+pEFf3CQhGH07HcL6VE9uuxuIOsUPQfT5oYtmH7dZ
NkTzGnWaQq0euAxPHDK+N2Oo843blNO+jcDSBjnNFYllhiNWED+LquNEMboSIoWX4exRL2TMR/gn
cRc9z/04r/lKepeOixWa6cZDrGpx7OtF9zNVHbmE0RL9MBtRe3WRJJ15iWg20vTHm6Y2HtKoyboN
4je1l3Zb385KVytwq+aXWcoRJLWpn6KGqBMtu+SeMYzXomRbvnmB9mhrQc/bpCIrdp7vjtUqUbp8
jBPC/ix7atbU4unGN1txCkX6XOfk28VBP94Gjma/K/q10Zr1JmZEQiGfOv1j3mT+PSmR9kPk2CbS
Io8+ARPcYUmGC4yZrQ/mUOBDYcVZRawN5soNn/mTeOasnTpEvWT4PluBTcwGZgRsVWefsh1qcHJH
As3Yb5gsO8XGHxOLaYUi4JfxgXPuDYnctKsg8ATe3GPZ6fehqvpnp9MZOrt0FltjtKABZZpEXtlV
Lr+HO5znwNr3mfmWoljZDHyXbR71L1GlTdRv8lnn2uHIZFbvUmX6KJLGx24cJBs316QnoHYqsji+
on62K4RndXEbZGV7KTALcqmBFfurpgT6Gw+dhynHiDakz41vkYysB+rXbOvG3nTWc/Ojt2xSHSu4
ihAq0/h+5qx9nOgwyMyz1yghpjNslYiOqoePqDKiB2H3r3FXo57t/fyQeDKKT6o3i/FhQsnVfsg4
7t5N1Q6/pphXHzykhCdG0vYjdqRsY8BQPjNkab11P5ZcMoUY8HawzHc1OcPFaCzyXJX5gwbju68U
xEoy9drDmDkDkVe2eYfMSXSbUmqwwXEyPM0GJ3YykIqt10YgVuYSJsnedAaX8EMPmdm6qJR6T2IY
2xtBz7KBy952pIhnEnEjv/LW9ftym1Y0PR7GGuhfbibmucHzRTCmwM02Nta9csXb3IVvpqSbadrg
JHzCTPahlzbh2vGTVt4QW2XdmJR+X9woeIqj5ocJgZNRml80Wwnra+8WI/RNIsBpdIRYp5G0W/uY
NefK34CGANDXpWvTE75GdZhEVXbczA4gmyHmIHXbhR0hyEE0yXg9sKeVqdEMVwnmno/U7TJjiO5H
YLXU3XmDjZfwt45KeYeWFvKoTb1KDEX7YDFLL/dwlsoQL53OTrltZvk27RriWZnNureda0db3yZc
KykjsW2bngQOn6yjOXaiZ1oAm9AzLPpB86kyfQOuepfc5AF91Yi2yc6N9AgAXKtd5eD9YtiZv04u
TOIya9UJTASmuR5+YKQFwVUExq1y5OgPSV2SIIlbhMzcpMQcnTvrrC3bY5aTe1EPQ3PD4JcqDTzr
rRpdxVXI5vmppc1xcPsAZqrZGy8q3iRDcWKaGG/oKCKsTRdn1WTY6GObE2q2VyuaEEfgyTxMczRv
QaQ2J5wG9a0obOb46GonDuJ1a3EQwaXoH3IKQ1Yr2T7YZLw8wUVhfO7Rgk9cwhvXGvHKTcRJw1+H
RZ4Tk47+wZl8dXIdgPssEu+cUZA+jgPpBdBo5A6M0Wf8+KWYY/0rLg3CgDjC7RIg3wXpfc3AULn7
RnRyC3k6wUWYeMso1jKHA2EmxbquIwkff3hnc/F24C7GfYXZgieVcLx51TdKeWvSYfpvVsWOs/Ud
vzsj2At3YyweYwZle9sgsjo1/WYtKwithY+2MZnlvmOWsxJsstvK53goKlpZlqzMg6l9gZwgTw6e
AhbPOMY8eT0SFXbtYNc1ZH4MiDJOU+WnRBYW18gDL+l3MWECgGKCFSHfvw7kry4prYGzKolCWCsx
FpvQttpDGwqU8Fmctxtzsu+lqNdGPVlLiLmjb5MmTi8pDO91XtBK1XMebvAuiyOny4hZeXuCv95u
zZnurltLyMdlo7YZQolzb9sxVhwnOcg5/BqEfXmIXfm9DeNhO+Tqa1k6w9YUGtnDwJYjZHIIZBfv
B1XYGyKhLiM+kr6rbA6FFtrqYXQflJOWO2lAdNXZdTA740El2f3EdT1GmGt5IotL7ONTmrwcKTvN
eddceWPn7VysWRv6hTD33XHo16iG9LOTE6OsBq7rtWWs7yFk6fVwqyGL1luL3VOurHTieNujiY/R
iatam1tiFWec+1HYzI8km4XGq+rQFG1S3ye+JnU7a03Hr/LxvuWiKJwt0g6hOYukj+6nTGX+lKxw
NHIuI6YPbiumXisry5jqm4hVfuDFQ/ViDnN7Z9WWkSDokfMXuxmmLwv+/cgpS3DKQkPTakYJ67H0
J48oi3w8ml6uWP6LimswJihwFi2OKFk1g9zwPvSi1GEUmzFRCQd75S5KnmAe0mO5RNgzSN1CtFY7
ZkU0Ta0Bn/GiBup00O5U0Ap6f4tYqKxYYvPW5gLlOp92iRnHL46OyPagt7aSzQJ6D0ubeLBPQZI5
A3pXBGGoFTvcrFA2N/ZJNgMplr0lG9GtLD3gYmL3MknfY39bBToJMvrAoHdmRn1HZmMVGXRBNw4k
5enhVCS5cSBGBy2VGZHot4K4EN4J0jgAM/dzm+IRBRlQA7YiKQfyzCZfRFqdmyVig5shewgS2V6z
MEPPFXoay93itMY1O+1kYHr7+VMD1ubTiB4MTzfAy0UmhjMhBMWDdKz8VJEVi6AMprCzI74YuHKE
+SD9lJ4F6BiIok+jdbco0+J0EakZaUeQG0Lqi6M9GnJUQZiUS88KDs6idIsWzVvc0LhYx8MihQMX
iSyuy3uTLnPfv7J4z1ubi3SqQ/HVIaaDB9s1Swi4ZAevinwJ0wtlTkoox1MA4YNrrXuI/AjIvaS8
w9AciLWXJwxY3OS2ccktCBeNn1rUft6n8K/C8f7QfcoBO7cqbpwKayeSGvsYfAoHGUDq76jZknf6
7ukzyi7/FDkJYsNUj/65MynPNlEs4vC2NF17bWn/tV+UG3rRcHiLmqNYdB3WhPlGWnqWpBBk3pvd
OKNaM9WR+xRKEnuJFd4WmdY/LCOK132big/W0/SYKkNsdet4r+MIQX2dQ1aPdkabJsGmN2eLTk4p
d7rq7esganvreoqsEe3n29xJsZdM5bB1GbOdZn9UF93F6toREogTW01r4qMW+kaTfOhWTS16mdrZ
ibTuvVVDu3fbWtgjyiXT3gYAuGUu4e2QcPvfrcqazk2XMnXAcPHYIIUE2ujX2a81TP2nsDKL11iY
6PxcnYXHmpzIY0oKxxFxK7YV7teT2cbegz33as1Evz7QmeMNMC0zTHCara58Qf2PCdxFO7RGaQSQ
Iy/KaqcQfN5khVEdcElhpQkL9cSE0N4ZgPX7ps3u0phctSwrx0vGaP3EIjFueAB5WPzRomhh5bOJ
SVwj2Wy2eZl5W00IHHKrUberusRgl0snOxGpEm2L0mwpovriG2BFd977NO63aQtddOzR0HnllATr
pginW1SI+OCVdOrdf3oAVZ/2+h96AIgtCHf6G8X3ofqeflTwQn6DGB++/89///6aP0Tfzi9+6DJf
gvDD2d//f5qdIPgFojjaAxBkQfjnw7/4xXdRdsNjQTH+G0XnD8033QT+YHkZIlULwfi/c/h3nL+o
doQt+BQIq22mPNbP4F+G+kk6J5NxiFXbM3OL1AdaNfIHvGwpESv0dpRMo4VpvdMAIBgPqXUeW+Ls
YZu5VVg6Abt5WXGLJCJiWEm2yntoZvjV4jDH+sUrys1URz20+Ll6L93IxvwgrDvSBzhV0vS1b0kS
CuZ1npUAzztQlyTeBI8+5oirnIbxzhw/yloizeuS/KUnvOKtzjnb099k673J8cR+MHwDRADlkNBm
hrdVtJnCyp6QQ8OOpOZu86+JkVMk2ag7Ub7hnt3Wlk4P+dROWO6LcLhdQqlszhJMVzauRC+yLYgH
txl6woJbddOAFSOoa7hqHQ83E8LkbGf+GGxtKMnMv6qCAyVZsfW3uBDqdZr78m7otLke7KI7xWGn
vuHkr96cPsVoMgaAN1OVExHZZPFHigRopYNlDkGUAWyUEjoqrJTLjGPvnrNFTdpUMLWS7TzP78Fq
EPpHBcXIozM2vmtM6wlIvcne5WxCYaTroELayWS63wfeaFucl1tzhb5seEfTn5+gbMpHpO7qNiOm
MnCYjTPiNvBSz2gp3T72N5mehxNWyTQ6zLBPj2MghcPCXraPrZdMG+KhLNoLUP2eKw+DOiOJ6WY0
W/zzAFPEKxm50StR59OhUfTgqyo0zmpGeEj4nwcyjRYALoL5PMdi+FLkuiHPNizlWUWyPSVoHX8N
ZTjDddG9kW86ErjvRqcqtpxclyhrFZLkKYQ/3hYcZwRlxZB/tAtOJKYP7xKzWTJAsqg43snZLIrF
WdQ2SykV31dBWIm92cUQGGB8xUe/KMR9OLu8HVoA+Tjr2N9qN2nOwqJOWiWIx/dWX8YNp9j0Ph5C
ibUncq6QnGKSBMzqFThBcbLNMvyhQNfKnWeWMSpQWwXpVrVteA0zb2bDZQ5vvCLX8O4TJ0WjD1nV
QF/czfk3p6nJNDVNXuENZb0J3V4wSREVre4wf1aCdpM/Zd1tJ3Ry9KU1MmurVXtOosrZGJ6Oyw1V
JzRCm2EILIGaII+WPxd17NyiBx/qLafQ5pKxUSLQVSXP9utEFDvS3eI3IW8+WQGy3vA3dW9dibjv
V1M46sy7dnU4mQWaG3Oq+pXVGf28LxXgx2jEqHrVarT1MQFexlDeuxdBhsXe8Wdyy5DuICUJH6eC
R2bLw1S8RagSkPlGnI584DkdCdtWvaYn4D4Ogzsw0ktFv+4d3RKzkpoXh37guXdJHXKwlq66uqOT
kcPICaMx3wY2DnXJg3KNuolnKSWG6HlC+lyevaE3s3s/JTAo3DjNPJiPztyRAcY51KtcAqFbY68G
+eKwsz4YDNvA60hbHWw5Hse48m7rppE3tC4JrpiK+YZaWj+0dWAdEJuzXwdufAh0VzwoactrobJp
7eQZKXp2yLm0mcsNrp8V9lnmW21yKbN5NZQETpp9eh6zI4Y+/ibbaG8GP2q3YWq9eSB+V25mHLPM
wo6Ha08Q4stfYyie8855SWDJA1MipldwWXbwX7s7pn5vIVHvGwL1qMXVaNxms4j2ceRMiNnML5Xo
G3x+jNhz/V1246mfuYZRb56y1Oo5CIc5oZhd8jwtgEYURC+BT3Z0GTTfyKAB05ZaV4pzKnLyx2Jb
3nkqy+77tnolwGTiWHHygXXsSrN+HFPageXk95RWgDtw3I8bqypGdHZ47PcoThjke/RjhrFDPDAn
3i31ZneUNnHUWRTvdBiMNxYDs43odN7ih/TNjc/R/ChjH1k/Ovj5LZm67jacFMcBJVYWt9HJ49c+
k1aOKtwYqqsJE+WGnpxx4+iZu0mjUtHoy2hq1gKhH3Pvh1ZrFEAzVfwmTvviITcmBSlAfvfrZVaa
xuI0lyGlYaeCct0ge0NVU5EvBi1Gx09YUKgxhQs4mXMxKo+OMZ0X6wv8GkBPo5DP6AuGteE6HXlA
6YMrjZZHIk/WcoQrVcq8XEt0nY9jEUUPLjyZlYNPeOXWpia0YjyFkQn/CBz6RzFFH0ln0uNiVnxv
ITU8pbKzrx4slkccjOW6t71j55fVekLotkKg8sXtknblGvwjwYpBy5xPauX+N4U87hoYxM3OBCnu
bD2jl1J+8avXoeGY1bYb5uGsesdexBCdc2GNMc5Zn/rWqqUPeyUQsNjg9MhPNnj7tRtZDcV+l3xz
ioJnK6y7bu3nw5WbsLiEDOHvcYS7K4/NYpt6c7cR4pMV6mx6K5OHcrbt+wLe7MZgFH7nKvHujtLb
tsLIH8uQYwINWXzgtdPu6BbmgjsjQRtARcCB3AE6pFOLlHl3YR5gUjsZoxce3U5p8sXS6QCMh6Ez
STsHg2av+G0O+p8x2T+WyL7Akvj/N0Uevn8kf3JF8lMsr/i9QBaChA0WK6IvGF54CCP/r6qdvfsX
1DPCXYZcn3L3P4ZjIaEcaGAZN3+q3Rf99x+aduySITQ8qm0X1aVv2v9OfRw4P42dzeVvQDpPygeu
ZfTQPym/cxG1g+tH3gXHIUVyVE3tqQIBAVwogEnjIzK1ytwGuG6GXvE4p4zBvxKi8CMBCftIw8B2
15yJn3A0Tl9y30hPtFsn7LtWwGy+qbwAcxV993pjEMbWX6EnxDyosVLts1m1kbGq8ELZ5SkP0+6G
PS3LLkg4QrIM2yLYQWipDmWk4eNlQ4sOUmBrKwsWTSigO0B2lrWlV/uAdGRRWJgqOhd205y7wepv
tDe2RyuU6jsP6LtT9kSuhZ35VqjavzGbtHmXZW4yDio9JAbdhy0zwffFGo1YzpLJadbJtOfk7Oz4
oYxLlRkRlBd/pEcVCKZzMrTiEWdWM4hypNVUgOyyUpXdGUlifRn1tGSbNBtg6+TUp4l51ZC1rz3d
tg3Azi+Fm4bPkzvpu6ma7JvGCr9MU+BtR5MQZnssH5zMaPcsldZFlqU8DIFNtFiWpudyrNGyeUl6
GxrFR9i3tMSwl21duu+ntszDGyRA49cu96ODjlDV5pUofiBBk1v8dYiNsWG064DtdY8N8ccwWHRk
VDq9uiKgtxGn9JLaJoipzYrgHQE4ZGIfp+UU1F/KtPzSGrx11TbgHxPFWKo33C2JbPUWPLi/dhvW
55WvKlQdRTm6ghFpWD76M+qmFZiK5rDckc/t0kvFrcfQkmjYfA8cmd594vvkmdSjv6FrPRK0B+JF
Q1Gc1LDychFfnVzk91p3812kEnOdzASBJLZlLG7LyeVd7JrsWt+5cbICOmBp2Omj8rri7MIaPCMA
tW9h1oM6TyJ1n+EKYijpT9/6wCkot00UMUNuNL+GKGnJt1aOuCn9TJ3JTkv3k1t15z4K8G9Nnoq/
Y5sFAN6AXSHJo6IEHBr/JIgBrVdp75sXxTxw5VHks8NUaM3XrTeGTEO74YWUcOpKQAQWAK+8xR9r
+unGipNxx4wS6JdRGtjN0NKcUNLh8OobhwqQqDVJh206py0fym+95tjNunuOpf9/2Duz7biNbNv+
0IFHoA+cx0S2zGSypyi+YFCiiB4I9M3X3wnKjUT72OX7XA9Vo+wiE0k0gdh7rzUXNsY+NaK3klDd
jZSZt3dJ+j3VtvbqzPSuzShipEnrC1ZLrQ3Gapzh05qLGddN0GnG/cRmvXaPKoAEmEuoFBk97y+9
o2db+vTO17QK5ot5xMzoO33k7IYaelGtt8OTV1rmtZYGLiBhGWy7FiyWX6TDdCwHzUJkRAD0haSf
rGjHa9FmgmJ57dpWuZkpdiiwEcS2owmcz0jZYQrb3sls6B7tyC7BDRbgRZNgUSx5Ie89BVXGxi7A
jMnjT3JKZnMrI2OLnbsDzK66n5Do9QlpEsG0iQc5P/TUwase3ScDGiSQkTdxSVoruIxkUV87DGn0
QNb3MY3tW8/s9nVhzldDJ4iKHd0Lu+OxJvLZGA9xkJO6NzjlNTRSbaNTs4yYP+V0lzaZusyb3rg3
jCp5huNTUbIweu2ol9g/x1FwKITn3o1JZfjsHnym5eKSQDiyLcvhJsTJd5oSlfgsnuLcdFxu8ncj
SobYZFGovHVoDuIwV/qrPtgoj62qOEBHNQ55w6yc7WXuA6Ix0uUi72piNNZBrO41V03s0wyzvZu9
aPqWC6XQBrj4QhOS7typQn1W68S7knqBUy62053LLnZN8xoCpjG3xzjqxociE9a2UkXoO7J3LimR
NBKXWYg8QPbrAKLTZ7MU0R5FfOZrY8aI1WonDWmr7XzmJTjvcWtp3/Sk0lbjEJnsj63uLUHjiEw7
Lm8ZKeuwnXJ8wJV4Cec8ZGuUZWjieiyHfaPVPp3N6LMxh+2J/STVWtldRJ5T+GZdqyOMp/Z6Lojn
G0Y5Xws99q6aqGZv3SLCwOTsUONYRDyiUpDrJpW0LN3I+hZORK4OLAEdEbdUXC4CtCAd2L3CyzlF
mkUFRGP7k4IW6iOXnm+Jf/HWrVk6nzsZ8WyYjoIFiV9Rx5pwiQReY8EKQTzZsfWcZkgkpFvFZz0o
it0sSv0Fmbi1Htv5gVy/wDfwm2CxdhR1hIZVNo71ca2IyzrkXnY7C/3A7kHQhkfbsqEjzwUucP2s
3bi/GRBIfdJGG9B0x7SZkiO6TrIGPYdWhcOjCJ3qwjMr9yJEOSVZQQNvz7oJQakVpwYB4O08d9dI
04FXZYAUwd2lvs29d59MRr4QG/HMOijZPR2W2oyKBoPCbYpzFJhnXcqVadJLh6Eq9zH6wy1Kj2zT
mPSShAxOUE/SXQnYDeV4gul8hrmFXsA68EBFWzoA8S5krrAyxgwaqAzyE2M9lu+BNl0UC7XT2Pse
575xv+p0ML7UqErPdlPfNGZu38F8fRATRUfqBdVpGJjzIgGed7Jzu01lu/1Dk0fdhe3kLwnTuEOU
AMhmhLKE8BBe3c2Z66xGLWwuYgIWN1YcWgiki/J6XgiL9LLsnh73DXwx4zM0uOEE7QgfN5nL/Sd8
Oto+m3v7lKs4uTBie1uayHaFASzLsR5HDY2JAKKKLsEM0N732T3+JrXrQPddKUnfY2wUNM0q+CZJ
7/aJVo52svFwiRAJum9IuTlFljUclZ2GT71Hbe02KETVDMwLkMP8Bnf3PsqLwjfSxL1LA75Cq6et
z/eDppSYl0gHio2K9OegAdKXl/SXElWeskGbAJkhHwl06yGrUpLLkfJu8Cn3O2J3vG08psFz3U3j
zhrj+pn4QLIlvY6am0bpwR2SbovE/HlAW4FMINe3IbOodIlzzLroRets4sQnEoVcmcwXHl0QF7fu
cWyPLmoIQl9L5gZWBgaeKATcGsLNHhKUpHdsqmjcVZJXva0DSKV9KJOrknnHjowcdQbits0dU+3k
KOrLwQT8U4y2tosSK9+KyAhPLvTbTW0kHU2BJAatB0f0urJp0aGXJw9Zdui/k8T2B2t4bnTWWtCX
ttoN2Kqv1OAmfmrX+kU518XWlsP40kl82aumAsIYpI1jI74OacshQaKJWs7j1wK5+bNDAIVgm/uS
h16w5ou85V1ebRMCREt/KrT6wBxY+nmSorWgEHd8t2IqstKttLhUo0FQemo5EDJzepr4J14B0xkA
lOaBVxpa15XtCRhxaXLFvtdvwUpsB6hDWxEo3qBDoF/MrAMEELPbpLEo9rh3xBvuUhu3S9avupbY
o9Jpww2Q6HrF1qPeEMBwY4NuNVcNQ75jEDTwdwoDdA+X+plghnBvjAEykqJTDT3KJiXrvmt8wsSb
dTVkhENXbuA+VRGid8zf7oL5FTeu4oW0IiI8gdza6l9H5WZXUKZZEHojI5Y9NbZBgX5ev5MjMANy
mnoZlV/jLu/BHedF5uX37hilqXUR2DJOjy0GpvJ+mHrOGqSrEXP5yivYKUOoAGBL0zujSeoXQ2Kv
Icbi9JiisFijKk5aUjim8ZuCRPo6gKFZsUewn/id8lkDjMpoulcHEn4ZBWA4HdfwGeOLrpfVZaX4
6bJxys8mTx7UjnrLEcF3eySLws818HLYiiGAGovXOhD6ZRmPEpqFPvMEU8yd3c65nyPkqlVtO69W
pgBwzO6sjkRIDRsiuuvbOgdAkTh5Tey7ym/EEEVr4JAT6cjR0O2trJXLajCt2fUZa/oC9KCGJl8g
HeneqRc5QGYbR1E0oNYEkn667OQeZfSubWfKTQTeHE+kqiQ/q7c+NTC1RjR3iuRoxI60OUSW+oIz
dzswpPXjrJ0+o8S9ChMyvlaCmdvdCNZv3WNmCvy2m8Ul2nDDT9qmWddmxjyzAWvS0XRT8kryFk5W
7LS6Q9KAvlwhSMovxjxJ7kNQOp9btp7UTE1/noo5vMvRUbD35mQHeZTsNIwIISKCPDprQT8wCCiw
VDqdEocpaaq7IMhFu45LfrQj8f6QYhm+bUMP0WSlV491VOtPOnjLp6IMH4PcFSfLoPMI2Upoe9NQ
EEox1ZHi0ouj6+XqDtRrU6yDQBXuJWQz66aIqhfYAyD01Dwi0dAiMfsSBHTsxwingEwiwrxKsyn7
lAjy5WUyBDtpwA6h+6gbO0qh9oFkVVxvmm7iB7TCY0NHfc03KrZJTaorfddiXtVOazNLr4BlMoWu
jDXd0OELqi7QfqVmN8Bnxum6ciUdu8LL4tua8ehKVDNAWpCgxqaRTKwNF978wAj6EM1zciJsIz7k
AJXOwO8oYEeHm0loXzJZzg8Rui86U7rDH0dae7kRCBE/pSwVBnf+IPw5cecrje7hOiP9Z9cafXbL
gEmu6Rs68DgheeuVIIfn3enIztePiTzeF0mgw4okFIP6c9nI6nZ9okmNZqsQCwJupn3N4NsFSBej
cHwqW3qMV3qaNCakZjTpl5XOWwCObsOUt4sccqjRbznzKwgJMVzrHrHtDj19PrDXpk9tMarxfh60
hPer1lLwtteId0zXQPrj4mJHnVuPw5FTUku40WEVAS1q9BJNx//kWO4iq9XG8xyO6L3c6j7L8vHx
h/bPX/jZ9Q+SeiGFLQRIArTNgu7OR6e3qsYhyUx9OBN8aK81z2CUxYDRHfODBuM/CJ+N3Nz1iXFh
pvZWs+qtHekb6QaXqps3Tdlu+FN3TIYwb8a7v/9yH+ah378bym/GrsirvY9Be7kOLkcExnCm4392
FXvFYB/3539/EFKEyCQR8MDcjyfATtqRohctRGwQK8h/HC3bMpH579T+P8oKJiQRDfv/3ZH0S7KC
X15/akp+/53fepLCWHqSzMXpFRPzJH/oSQp6j9AgHAbzv87ff5fs08jUaTt6zh9q/l+7kqZDV1JH
6Y/gm/4eSRr/piv5nvj2g+dmwV5gCyCNQ3I4y/tIhABJjmRJm7WjJDcjYXNB2OjUPdUY4Iv6IhH5
EnNPvSl5F7hN68T2iUlUPmxCyNG2y3YJ/JcKLywvkKl5WSB1FWSFaW0UEj6zGN/oNXYpt2mA6hV4
d3yy2cJWoMT4t0G3D6qZYz0Im47BTFO9y3lBgCnNbVSLzKldmNdEY/h04CWvONQR+GPIToBwuoTg
9uKzUQB499ly1Wq6S6oZ689GWuHgIhQbu8i7iuMWTRWCBOi30tBy3+7Qgq+yrp7Z37iThsEthAov
/+t3+c8SttEa/q3dxS+L4tvXNv7atT/KXb7/2q8PDoiaRcuiYwYzneW5QTzzG6LGxAZDN12gdoFh
sbhWfn9weNqI/iItCYEMd+UiQvn1wQFRg8zFQUBj2y5NV0//Vw/OOyPjhyfHQq9hegbwDHCLvISM
D+18G/Gc5xCWsC8LDIlGFGebaC48pP7t0+SkX7CZ4mooZ14x3eghSXGa1ThO6YXUAZSKVt6zIUsv
YC2ll0xET73EFOhqztmooAFkgkG+m/Qe+x2LrleHMtQycwEHQJk8EZW3VTiJGcF1nu96xs171IJg
eL9KoEVv9MqFIqBzTC0EZZjoBccUFe7ntHnqM+++ow9E47lcOE7JF1jbYp3l/HhKN8+nJ1wfVF8/
6bQy/Bn2N1Q+W9vkgfuIBfE2MfUvPdkt/K56ysr4rYRBvoKgFROuY9ywzUAZCmJ85aix3Yi6enJg
/wNrA/E+vMMOQuS2Y16Ida/RSqjlISzadhM0nJreC6Dus6Wek/TNYIK6cqCzMxqvm7Wo+NCs5xRY
afjAn8BpEDRvYjbJQc1PIedD9a4sDaWvgWE4Msp9YtVqW2ZhtnYqom/Qyt8Msms3y28m+CZXsUdj
ZMZhTO3FKVCZ2W6QS8w3YZnd0L7sN6jeuSYhkFnbopBAIMomqOILmYwB1sBfHtJmAd+6YDy8snib
CujflVkbjDIxzwzpxMAQUODXINN0zoN3z0iq3ZhFxrgCfJ8fMcnfWoQ8rEqKN5DzXnMfyCA9VaT9
+O+YNTXDgB0kN4fZcNDBdg9YpO7fb5K4mmDcWFWzVi6RG/oEvLXHNVEL736QpDox4yTaSdg3fcyX
CpPUOkCdYL1PumYNeQF1stcaGwhwYi1afpbu6TmmillXZWNsMPMkBK8BhJwNbqwuy4E62/aZ+/lt
9ChsDYOvng3xFxPtPMIf/ilZBvm9rhXroZWMb/uS38k5SzQD5Jr943wpqsbzAdc9vV9vcLPEDWXc
Vu0AVi6MuGXQ/3PpK94XnSOzC6GHbzzk3NW8DVaSmg8YNrdKuTwLYdVOD1nEPzoy+QIEles/ok7u
VRqfO04Xuv57hEi8DSqeE9clioEt8nxJTJDyPbd5cukw+I7LFZYdNxNcmfP7yQAuAVlD40dVmn/J
y8HYBILYjcxo7A3+aOVnaQN9j9bdbd5A6KYcgh9X06swW6W2c87wrE5x1eQ1ASNwgfgOYdQcZaOR
oEcpezIrSPlVOxub1OWhnAbzxHgLa2+H8MYsFoz+UKSX0uBBRRkk1rKPsg2igYwgnPQNT1F800f2
+f3xgq0674VO+TJi61p35UKRxvO6EjmX28IiASJfFID2CcLs9eUxTGXpv19bbamUARieHJAwLCHc
AgUyKR8rsYKvwPWb3XTelqr2dk1opZspz7ytYzLAJ/FUkSLLeV/ucB7xm9iai505sYxBW2431uyh
8lkuc9uhsW5rbqMxNdpNT/rEi4ptbW+DdaRlzrGKTtfAjZisXnb8BXwAl0BP37A8mFQePD2Cbqmf
m63nG4UeXGA3Kk4uk6mzPTLTGJIvWsgmQWM6dqIVkm4ylyeCwprGkM1zylRVP034Rbauw01W5GZx
Ai3K0Uk7Yu3NX4qGxUEHzwQPfudFGfxQ8PMn4LG9bzUmTRIcBuu6poys4E0dmH1JAmkxRo9xLvbY
g8yNBrTed/GhbYKBS6e5TAyDzriJEGXuZiCSO9WymCir73274s8mFiT2h27R1ruqJPWKFSzHOfx9
bTI8QlPeH9o+htSuhdo9nx1d2zW3RG1bN8aUTKSvaBKJQ7m8dgZupmokUgD7lZ+WmVhHlShOo2ON
585N39jGcWomnoD3c428MwV1z0d2OtcVBXm6gZuD+EvaLIGWXa3cTAuu6b7ka6eEJiGD6q1y+ddA
KzY89NANYtYTS8virV7XX6VgZFlolO5l5T7SGy03qRYBU6JxUyKaQ9UWXkzxuCChsibT106HXcMg
PhyzzIg3fg1O4Tm1mW/irMIBu8EailGBsjP5YmCoXtNc9GipCOPeDtNs3chBJZdT2HTozQWX0CT5
APd6qGNdSUSFuQg4zDWFurOoU/UsxHLajH3iT6j1N9A96mYD51Uht68q7UIF3YtGctNr4/Vf0SiW
DCvNMX2TlanNwB20eSYkDO3QviVmdevl6UhvGWUOjYkEQAMBKb2G3d5ALKPL4NIbyhnagQmQ/8wU
UboHgoCafN8iK9KephBEctTRxQa97ZnYMgBGQWBFuRSfGV0YuBqNItBuiYxLLyLXuf+hgPmLmvpD
Sb3sayCnAY92XBDxmIl+hqdlnmbMBLx1jDSnabfEg8QpLxezkPcdpF5uK546C/7Xd9XL1/F/w2/l
XxyXukp92E+hT9ZpgzhSuCglfj6uB6d/grnQ7fUlRmkceAbNGM7roKWrUaVvf/9XfijOv/+VLl0Y
w9I9QfDwz0ebh1Cz4rno9tnEDbLsBLw00Da0EcR/1Tz/UenMDbRw8P7v2vlT3HwtiyYufqwBfv2t
X4sA6fyCY8dA8WbYVKpI238vAjzjFygOjgER1kRrA077jyLARQ4PeFsiskHLx/38RxFgwKk0XQEH
B/SdxC//b4qAn29ZinZUQbZJCWDyafp7q+BHzqChiyiFxewcMfPW+3e6oa0Dz5+nCa5LWzc2cv/f
T9A/PiPfD+gCxoBUyejc0fnDfjxgyl+tDJXbR9M25JpuYrybPXA5DtSUPXMD/V91l349Hu0rTAKg
KuXHGmdRGTee4VpMkyLnhT0pAKMkIRHM7v+pW/bzsvN+KC4115omnnDFRyQh+OMo7FLdOqY5ILvY
Teq93aKBAi4WwsacQVO6aaKf/wMeyM9rwfdD6xSG1IuCTIeP1IKhwiojCDQ7NgZRVuDnwWOg8wSD
iGL3n+LidRo+P6xz70fjDtQxXDi6dIh6/fkajiXZKe4YW8ehxLuwctXCFhsSAXqwb13UQIWZqOgi
H8dG+lMd9c0TBECYRnCQNYaehfcPQct//vMBQCyUVQpZxyUN5ecvlOgRmiCEvcfv+D8vpxMq4K7u
/j+PhRbPNnVuYW6cD8tuCO8gi0g9OpoNRLTOgiLltjlkw4Wk+PfPynIe/3ifLOeZXHWiB6j26RAL
+8N7LG4VyByydI99EL01BtTDziDO6O8P8lfnjkWIrhgHY5X6cDEp8S23NTLrCNkakgp7cnpeDpZb
fU5By/z9wfTl7Hz8k8DD6gb8GE7hR1atDIgfnJl3HBMjTlGC9xxTDzTwWxnj+s8SuuaL5Uw8pKSw
3II8NQ8ER5uHf/gaf76DHVqadDyWRxWU7YcbJjB0IwiclKAs2S6N9ULXaMWRMqa0hju08vJ8k6YG
wwyKrYX/uDy8Nv66HStIvf/7b/NXV8CyTI/eJVeaptDPd2+aAfPMU8XDuxAshWCmMVAzHS3qk82/
PxRjEsjJLq8WEpp/PhRi87qsKQ6Psc3p9byQR5Z4SpZ66XAl/v5gP79bWL4tC1mqu3BGOdyfbl9C
t4gSqxRJngApZzDfQAwKM4M3infnuieXVv7DvfxxmMIhyQxhjoJEdbnAH2cJKoXIRziIdyHwnu8s
Sf7WqmFjfOsMGjDNJuC6mjb5gTh8jft3kGg+tgB2tQLim4ydCp49r7/3FQTKo0IkMxtQzQJ4mvDQ
9PKfThI99J8eCZsXv7vQpu0F9Assx/lw+QtJVtuIY/miyQTChJk40DJ2tG2oNwTelSKfxhCmXlKX
ZJ0lanI2yxTppq41wLQYfPiOhDNyIQM7bF9nQGavaAS4db1oXrB2lcbKK1Cr9ugkBkyweGOtlyqS
4NGcqt4T0dq+1oLAKBexUL1uEsM8DEZSfW5hjRxlaJlEc3ECIUmSlBzGGYxb+p3eYztHGn0f9DT6
Xm9QnqyAZ9aQ8zyQwD5984CSr4tRoGdFxTEkZ9ppSGGsKinEyupJ7SEZTOnnJiq5Q77jJbGWzjsN
kLNzMSiTDLA2zNFh1Do4UezY7WuKzeSzq6DyXOR6PN1iBgFsa7Rav1qEDfGzPnkLenA2HRzKA+Ea
jyDfuffa1Hkhkoi73QLE8jLpXvNKJ2d5Q/e9/ZJPqfGVjCtj31MM3jJ3zXf24Fa+i9YHdj21E5H1
ns0LFXiAfq9Bwzla45JqitoQfZ7FGQ3A2VIHxLvANBtsJa1ca6Wh39MW4fygVXJvmyacH40eKqfy
FqAsSRHeoz7WzWuah4axcugHbOYmYCos8Zc8dmripzR0zQcImnxKnkxkNbacN4tp5iIj4o1a8Kbe
qgbwPliiqE72ITUvcDTX5c62IsdC3Qr4xaXeYmOikbX2HV0rEgOxSDk544aOLXBeXNf6mUEzd01q
CpCITsrZRAej8PuXckJWuuTpUlOyXmq9S9xTY/VU0cZo8GVMm3TmzTtd0Skjnr9ShEt094JUjrR8
QSqSWCv9gMDPYe0SHwjlIA2YbOiFyb3cJ5r32IiAj5UtPQ5IHpAf9SWPoQVBM26njPcyrjkbgqIi
Rv1ydqFqoETM7Ze+hOHoRJ1ngOmpvWxtT3p9F5qzsZ8pmFwks471XPR9cS/neLrMKvxWFURxArrx
QUi81qK+iFEUH0IyHPiUbBz9oZjLDrlH4DABntF2UnViVXPtZDpLhqjH3IpKYHPIPXwoDHBkYDih
5JknAp+FvcEtp4iGEBORqtyTDI5wqd+0qqGLxAAp/1aSePUmrbk82Nh2zowAUHNORG3CgklZmfw5
Y+HClg0TsNUm9cRkvm62jT05Xwlf09dgFotT2eC92QpTusMK51O81pOy2PVlV5492DyDX8xN9Bya
yHDpWoCMwT2+q4oJAjDhBxV6ssEhATpvca+rmUTZobwg9AtgEJ6i+Rn3K8Ju28D3CsODoJnAXgSQ
Q/GMCtVt10UfNetUEDS+bEZpP2HNMmgt5dqmYg+46tm8bOkFtcvCFAARwSPXgWs4FGmlDkkdNdvJ
7qZvAVmCm0iLtZvJK/OnOO0J45xw2KmCyMAEoC4KsfrFxYrjgz3VCPrOI7/ra31LrDEfhPjeGiPB
8m8GOFTT2gS74NB/Kls/XTg/yJDpwoRYlJpRoYuGfbI3TAwM6wLsK+CsgANZGeIsq0PDKEvV+BnQ
m/VcTvCK8rJ7UKlT0ecvmm2HNsIvIvE1c5uSOEKI4LFHVnijBeYakajYEYtI5J+OeooLP0cnx6qG
lQoFV9QNjeRUul5xLdpOXUPE5qbWHHZkL1PQQskkwxVy9oLO3pQKY9DRGYMF3UAWdLWgitvXsBYs
SOXs6feTmLllRdvDdkWTG25kB+Vgk8bRSLsSnSxEWvSqs2/YWvkZPd94jShHI8QTmGoLb0hCCLKh
IWeGBaOMpg2fpo+q2aVxyxLEaszGTEGy1kbqKDTvbOGcftbvGVfw6HeRjQNhtAiyt5kQfVaK23Yx
+ZcMZbIi+2yUVch+DsQoTtBy4STrUaPyZ8AYUr1NqregeLstLn+3bTZFYg3fIKiSmmOnmv2JMYJ3
QHHY7DNUTxGdtTAGE6Un0Zemb18SRa/SRpeJA3Vi+XjKgEVpd/GMjXQvaVKd+xrqo5PF6SbCUbJH
RThvJ1moh9kLETl5rjU89LQhb51QvRnZ/DTSerlKW6Pds666mY89BOVnp4zXkOnw6xzHw12IflRd
88QnmwrcsreyQneABRzRc0Il27gXjh03aHmGTOV+47CO+2kH9mHfYh89WlU5XVYNtAhnHmNthcmk
A1rGVUh8Njveo1b0CDNHvc0ux7q2ruaY/LuKPuBtTra2X6O9+0pzLiNifDa/lJ6DkdFRM/6wwMBY
TDRv7AOmi8DNzAO+y4r2JMQ4e53k0rrApPolUNpwN7RheqN3nbisYdc8p4ODRLAGQ8+7stDh/U5m
ePasKb6sR3IpNW/wQOb3YfOC2F0dcxeTZRHb3REuphasrLbJ653OkrdFDNv16xHzDZlSVuACbckK
PECpUvse4fydQut+ElM337SRKFdeHw6fu6ytgPQ0jRVfjPE42r4saZavZDDI9OyMYsBdF3XNfnEz
npAjlQ+CsRBJQmmHnQS0iUCzy81zHnjDvyFkaS47pfodTePpWCRNnq1xXgQgt3TKi4jFbUdaDYmO
ip2F5oe929+ERk+LH9USDeGGJe9zOjIjXFKNTpg/WUZB33mtX6me6HcjJ54M+lhpXLbuRNDy5FW6
RF+HuQT/9/CtNJwu2HpaxVxIhdbBsipjY2bOvG86N75tcr166PSpeZTZZG36cU7RWS0AXxeloyWi
aCFIJS7zuoEBoR7M0avIW95DrWBIE2g4o9YWp+q6n6lTiHF1a5+M8PjKEGR9i3rQLgkbRqkXm5W5
lZpZu6sCGPu2alwb54IRe+gcuHffAjSBn5Q026/I+9xXyAROvBVEvtEjznTs+kmZuTU5QGb5Ni+8
m3UdzRPt1la92dEYXjdJbvKWi5v2whxG/C1lWVQgBJnxrSy3rhnCFPWVhjd4YwgnALUQsmcP52kc
8QiV6L/sjkniMe1gy2uW2z8RPwS93Q3n5EqgIxUrhHjZFXK3jKhIwkFvIs3kqmU0kCzS7QeyLUGW
E2D6a/rdf52N/+BslFj+fij//sT/XH/LXoaX+tuPndDvv/ObGoLoHSpcE14t/anvkoff1BA2Qgn6
n/J72qNBgfyrt9H0fqGNj1LCo12w6OMoWH9TEclfyNeiiehADaVr+O+8jbqH6fKHzgTCIYRM6KEt
AQFkadN+KMPShPmwPnvVfnKm6KlN2kKtHWUOHU8dLJrRrdkYqWq6zkoDcMHi/gBZ4vlFINQ26eNi
idWa9acAbTLvpgLZduyJ4dvYOtoy6Ux8mh8pE/gW3oLGQt/hMtRqxhJUQNsCIsYOFXy4qUcP9REn
Md4HzKfvEvDlpxH7xzlLbMh8smOGzqY7sPwgQQzs6CCcu5JBpwYLZ9VGyD6JB6mP4DFwO+X4lXF8
JDuiy3idm7WjDu4MxKLU6va28ELEwE38nLiV9hRnObO4Cv2+VY3Fjl10uFGLWEPJRiHLZmCSj80N
sI5XW2MbWyDF5Q1u3DD3SLcednT29qYG061oQSOmb6omgmMlvLaEh42MxAaRuTWqVm1Rp7a3UW/c
OOaI6s9tL9mfmKvOYOCqy/ug7y71AJAaO5c7VFX6aWQgBmEKHhVZyMt/5YRh5ydLqicwnIY/6+14
wSz5mV3CwanKfpWZ5g2MsOfKZg7uliVOKm3+zD5ErBXutnUqVQfghLUTy5jPLXg/whcK3AQGPjt9
vkLFe5iP9ir8loSfiysz1bRt26flXQiZ5RHoqEXhZjIfXlQQULXNLR3TcYUQBNuqyN+aWV0LBzNT
YGkXC7zhpbT0+h7/KQDAOGCzZ6psMzASv84Ge49XUJLl3VZXUx/VT1Yq750GB0o50s3A+R+enCAl
dtn19L1XOXJTZ/IhmxVRl5Y5PCDbRcaWl43LStnkN4YXdF81UdUFDgJh3tDmM895XLEdHowISXwZ
VfMmi4o7U9PHjVkXdYSByrzFm+ptG0lcg2miiA0WemES9/E6yrQe6NsIJ76uTJUeQqXrDEsB3CS6
TZYhXq8ShMTYHcNQazvwS5r9wL4qPlq5I54J1IZSObUMvWGhxmubc1luddJM6xUeR3EcpspuDwTX
A3xAGTq9ETc4azvaVmXwNnnucJkZ7OdXYcHYPnNjEy1+FvoqT/S79+Xrvwv9Pyz05FYvWO/fZzp/
Wukf47+APH//pT+WetLX+FcGQjYEbD8I36T5i4Od1rU8Ol5LzBqd1z/Wevqflk6Dk/4dkyc0cb+t
9c4vfBp+c3plYJkMx/k3My93IVf/tNZLDm8yVXOWvhuTgw897+UmLSkh9L2knZGRlVTKRWdko5uY
KkQr5mYsguepgMG86uDOPghAIr4l6EbFzHjOmPliHHa9ucUNrwfQYW15HU2hOtZQPO7LYioC7Dry
UAUtC0kAxXLqqhfBE1OzWeIEPwBrLx6NJR9K5QPNj97Q6lc7KKi7FmY9+ev2SwE9aPbpqtgviLT4
IYPorsfWKbVv6cieLjXLfPzmIY51k4u4sYYze6dNnTckYYzJEVGNkjs0MMX9YFoL3CfUOuvctYa+
qP1K7V6zbEWad4SlkYgckLRVnZJzGGNXQtM4nvV6JD40jSRA00watOJ6yWkhL3Gvj0N4ShTwj45S
GHqLgZM6kMNgb5H+Wyt0cF+sfC6OIaGgK1u+Y6Ss9KlOmmKDXwtADzsCQtjN4dEwkuk2h0UZHqwG
ln+pcnUdeLNwoaJG1kGMvfa5bbJ43TXj+BAJSvGULHU8RRBu3Uf68mDxXGfU6Jsx7lcrWicEgQXv
/W0XO4JxVcUmIUsaK9l9XUnrpVMWCbRONpDUHFryxNZEvx+HJTYHoRnnIoJxeE8yPZ6HyRj0e0yP
lLGZgoK0as2MWrrGanZusMGyMW0b6nSTPWm+kXbPi1ZGHmW5VleEZLx388Ftsty//09KVq5roBxq
6oqcdsLVopzfwQqRuieFaeEzDFBKZ7vNg8dFDBn7NuIxyNwWbbAMurFOLovtPcoyRUtM4h4NxI5U
ilVNRgQ03trS7w3d5s/ICUrYDS42b/zNnnkgsMt+UTgomx07bPpJ9djMR69Yml1TTnYAs0oapIk1
8wfxnuFzqgW+16aEklxocuILDHpFc8ENE5rO7ylg2ZAT5hFCHsrpuNVmspajC3dBYuEzzjCNcE81
bSDCQ6t6molhmbSvQEfxhZAESxDwuHwswVREqsB0oLVRUvY2iGU0wf9BH5+Pp3Ljf8u5pVNMM5Uz
WA9L2vVckTVrOfhER7o+9ICbVn12wo78LU3xRyBVEtcy7h0ySDii43Y0EXuNfveQ6dyb1XtSQTKE
weNQp3Qm2YrSKbQGo593da1bLwKAgPye5uUIhhgVyqF+VdljDVkzQbEUJtgdU7OKykNsgqDZBE5H
EE5lxHx+aMJ/2U05feIoyJxPVptM2uP7t5TZ3IXoNyBfYcRkvrTCosJdhgRdP3s1/HS2PA1C78YZ
Fs143lfz3f9j70ya20bSbv1XOu4eHRgS0+JuOJOiBlKyZHmDsGQbM5BAYv7190lV1dd2fberovdd
iwp3uzSQBBLvcM5zujGvc8Sg+iO1Tf3+BBnztruOcdkNwsL6Zm5r/nc46yCyIIxZAhj1ku7z2uCC
+Fht+EDu8ZlmjP9FaVrQ4cmZ+bEsLldk5hn6mrJsIjdi1wjKfd0PIzsSq5wIVZM5cDU/78ZNF9r0
ros3Xs2PhU42E7zAlUawDcBVtJRJRZ4xay+QvAHISOmSRu3aRgNTlGH6lkY9xtfdKv+OfXp08xEm
xIeJFQlKoHXNkrkjT0bvBTvRqwjwAOFjA1fxPkP0uFtoF/AJxu6lTzv1nhmOhbyLh84zqSPTY+AZ
5RoyBxe23eI+XsW8AWfWRgavrszRAS0Y5hVKTWCVeAErJli8ZcNymBBNHEb27O8Nk01na1V14CCS
RBzIFgDdaRyzZXc+gt5mHY7VAuAFrEXVyQ8sx/sRA/tWDDH1s9E5IzuYyGL00gp5dKbU2dcFus91
yxPjUlmyuhZDjXJ3yIFMMdtM7E9hvfgMTtr5u0AbeooIOjpkQ2B9KzBhPgdxP/k74s+yc9N66XcH
DxFqaHc+yrL62AmxKUqNT21mtM+JLdSmavKuxs8YpPvZwu9Fx1yQzUieGq69aof1eN5Wsbl8T+c4
5w4YYfQF7D5QI2eM6FflEjmvrH/AUbHBILWPFe+xx5t6W6J72bjjqPPgps6m6SHKAINEc9d6AIXB
0iRiS1LHAGx8buZThUHzDlPx1SoNe8JZZjmMA4JBWefig1e+aHT5AMO8G4CZL4PGmje5vB016jzX
0PNqaDlNwKBXH0R0q6o+O/GIOK8DGxdj106ds8wrQHwRE8tnAtTbx2IUD4k7NFdWXESWxsq6Rmz5
Hys4ptgopi64bzSzHSaq3JooSz/H9jiR+BU8LbHtvfSa9k5qQ93u3bFClcjnRib3QLfGjT8eJonH
ncHgA8udmq5LJuQAabA8QrlizTiyMy8suertBLlryzIPhmKG94wRWpfILcHvtCVAFMcvkZzKYs18
D6I9Wte+PBBgAOnesESxHVg5rfEzd092lQevqR2azNxTQPl9JvpVaRryOHgkxK1HJ/sy8Xi/wXvb
33U2xP0W86SE/4E5b5wk0k9i3c/Kwzk2iNB+nEND3LB0sC655XU/BjG1X+YPxv/0wftPP9j/XbtQ
9dOIrWXTfrbnJbowmYo2uWZXUApO56FjcYUKcjX4XnvqlWPct23nbdVH9sBMoHrRgSRpCIDbRu5s
X7K0G17ZvUabuEy8h1CGLvlqbGtW+UfCAVgieedjcbllK2RX8N5N40Iku7vxRU9yUVn4q0F400mq
svqS9lDG3VpCS5DwyswWSCaBC4mOXlCZ+WrZ8TEj9uBszK74PI4xaDYfxy4TNWVtwY0kN2iC43uH
uMDb3m8PQT92DOHYWySm1XNq1nIS5zHpBK8QnrENfa7YYPvvOx5+xh0DRoIByJQoibo72IX1EiGx
WMWFRySEXQu8x12+IdKq2Fhy4DqwJQFtE0y82AmjZROLxltBPSbVQo9TcPHa0rmwhvUegrDtHuuW
rQSEGOz95N2x0limneETmUGesruSffzJM4nTqDA3bCygIeu4mt1d2JXlY5rV4CUyHcaB3jjdTHaR
KUwEOii989DFzipJHsqphQHEbPPJ1AEfs3LMF9z+HFBeXN9yAg3QG1SqNl0ZXpzOJCak6tn9dLaQ
N065NNfEBfHLAoxwkf4jZyTRkSO9Dh9JUw+Vb+Qdgy4LznUez5/Mj7gSt+yfkz75nLHMXrughSgo
piH+NEjwTr6a6Jgb5ZzgXkyHidyFlQgTKP09yWiosLORPWqJqx4xfe/BX9apKsNHwIqcyFoRH7Er
jLNBFfllsZejCJ4l4YtI66f2Mcpqf6emJsq2PA5BtmQq3TQFHP4gilbm1FrXJNLxbW2WiA04THVT
i1k4TCvhgU+aMTzaGjfM10y3/geE2Oe8+ZY1kInxWMMo/sAVJ5pcLH2/OYQtJpHig2usCceFZh0v
H9hjYkS9bapZyBm4K1YyQX87oujaRDN5KPPQDBuyP+0bELHE00OINL2V1U8NZjWw4OUDzqFlbU3J
cB1cv/SuXoGvfY2EBTJlkVBNBCY+4J0flbDeM9bBRBbI8m4I7e6RxBYFbycPYVEzALj02F5vTW+y
OG3ZAHz2YbbWGycse0TP3YtTLdYVAKxfU725Wy6f5WyWJJ4Q4OihN7DdZFvKUJ6Y3KqbkGy4PfsY
65uKPckkYgx2vplk9xN0e/YKXsjTvWlPkMytp34BY0SbuAlsZV6yYS6KVYWBRmyhfkx4ZNHfg2Qp
lnFD9aiNGaM/unthjBN7ttDMH+kBm3cnrswfGGOIaMBfTvAoNVGaoGY/531rlO/zMKkHI5zxMxOG
kG5jJPz9W9DJJ9nPVU7WRtqLyCYvjoPsSJIEmX+Of62t4kViaU9u2Bz40dmpzK/dGMpboE/5Kg34
3I85rFg+02yGx5nzPl8x2LrmS1ryp3ZctXkVPbBabHYEDaK1LkBhjS9LIuq1cNog9h9iWzYPPOmO
XcnTcvwb2dGv6jI98MRrK2jQA1eY9OS6Sf4pYjqnMIo8ZdYHd9YyIJc8TuhDVkGV/tN44OE3ddc/
qr58qNOqU//3//y52/74QSH60oCW10Eb/esPCloKd3Ax9QFCovuVnpRddlc11GUf2Y0qxaFFSzBR
ey4crn8jovvfPz1g5Y26jdFu6KCa/fWnk8Ns+SAr6kObSfvJG4lfTxutGql0guRk8FO9zqf2M8aS
av2vX7r1q9BMv8m4mrVMFwkUXrs/v3YoE+SERJDTftOZDGPci1s/b+wndlB0S8LyePGDmGsSaRGv
rMy26qn3q9gvtILDevrrX+jPYiMdJh44IZxrhOqCJLVf3404HHt8XDQubGEE4biMGtw0sZ+W2Vff
wtb6O02s+6u4Tb8BwoGuh8DYNwX3+58UZ4zJZwLdFeb/sg3PXUJvpnjyfs2NrtTDxv49gRQl7uIh
6B1sdJ7DfhTcRFLeZm5GspzByb31mkq092WrU7jZ2spTi6DxeUgQyjBB5ErCpBNRl2P/+2bGphMy
sRHd8mizboWaP+VQ/fuePkJm7tcao273qIhcULulsyywKRWiOfFloWEkKDKY6MhBYzo0czHNZs4j
4YkFp3wlR0t945yofgTLwNQ0jGnZuo9UZVz08tUk23M6xzS/hn44mnTQFhlKi6F6tQszOsP9Ryjf
zH/Y3otaEifaJhbSG2UF9evHsKP0mt810P8dZf7NKJPLnC3Ov59kblhAtul794/6xz+wwffl26/R
db99/R9DTVzrUCvR2we/mXm50v/YX5FBh8IRRj0CvtAiu+5fQ80ArzukMlwoiF3R+vFXfww1A5wB
mFP4S8/1/9Ohpp6p/jLTxG3p6nuNW03PSvUr//k4n60qt5J5Mg/5VK/L+EcRG/fTHB0zIBLVWB0I
jDkhq4IP3X+2gONljtr89Ob9f8557ZD+X78Co1vLcXjNkEz+dLjUrg5JCmKTYN7ZvIvE55nWX4Gj
rspdnNsSaUrTb0JJFI4o4FfIGEe+LartaL8KLKMLABNpxLfmYqzSOth11F/SR4yWeCgK4GvhktoY
A9IPU76jmeQ/Qj9YwV7Jv2RYPPUfZ8GyPJ0/qaXepzDOlAG4PDyIumNIGUM4RAVTzQhxOjxQBrRg
Z2Pm/Xp2quc5yFct18Rh8oJVyaJc2M5N3I+gpbLlgqJBwwCw2gL2YTeBJ6tz1FblZwYKF2YdPUNj
HaoSdhcvfLUcY0sS0tdF8RuwnQDI7pCC4q/LBqZ5klAYF5sB0FHb51cilp+yZmy3uSq3Qye/sHoz
98Q9PcTKv8H5TNx1v+6yHCTkWOy9hV9j7FD3OVX1Xk7C3OcZs5XZHN8rEcNb7tWZ4huCEcHu0lP8
sGWX5s59TEL9b5rb/x4uf3O4WM6HYeffny4H9uFp+vM+/Pcv+f1AYQbEAcCZgeDMwR/kcUf/fqCg
kfknGxSe0CykP/be/3Og2DYUYMu3QyIQeH4DAfifA8XirGFJgf0MKP9/jAdwf72bBYxfCkPqJRTJ
nFwi0E/2n+pD0wuLJXNj+1EpjUOSS6lmzNBsc7QcMTxLEbcXmAEt/UxuPyVJblztsJn3gLFn7MQp
jKhCTQy2COkdgVtaDGgMsLPTQA1gmnwfz2BEtjKGOn3IWhxyKwMN17FOpnzXC/zGEsv92TZM9Noh
Eps0y+c9QRX5dcmc5YBoRK0Sy+i/V4uxkIghRnFvTGkCIbegpE5UN37lET1/9Z1kTnVaMIFmSTww
Mm3zdtmRf9OcaNnlG4DB7GsXjzNYUuT+NhPV17klG4jDKvfX0MC770MbQ1WXBWWGbVqXOPEuVmeQ
YIwdxv7UOwh2/uZA/TAq/uSW0B8BFjSfTxXAc4CO+dePoFwEUN9IeY9L64RH1+ndrbR1nRxSuMJm
YpXO4WSX4UPtS/tcjTYvTXpBjZU0py9fkmzeEqtSH8OlH26XyE3u7F7U30BPGi9V46prMhvTlto/
u+3hBSTsLaDZF0UU7OME5gDjm/o+CNpPXeG4BxqUsx+PMEsTe4/tmPbWa97+5inyK2Sa645uRF/A
WJko/Ngg/vqiJTrmGE1F9Qj5L3q19Kcf17X12bIFwkPfBG3M5OxYZiNubEbM9qokeWGncIxDoZjM
N5mT+LEK3XG612vi01g77mM086fGse3vtqytm9iwx/uk93Ctx8304AbRM9W2vQ/TtHjOK9zRXl4w
DuTJuU+M1kDC5XibmcT57WKWXNN67nFjLs63ygMLTzl6gBvqHmY61A4FqbNJAQtsJxefvYnQjB7v
tZBhdhKiHt/ThOlzwWT4Xbaozz70l22HQD9KkJXIod916ThduSnzO38wuJlUnh5yB8FXmrUrL2o9
xn7wLG6gxJSMXIOp36Spala1n4V7cwGQYKeIp/2qmq5TxaekY0ay2zJxmvMcFPbLjL7le0CgTQsK
omVFwKS2OWgx8a5KlDqEk0xviq4zbyOqioegsoZbN0eoiPa0Z8vVJEt2wNuVhetFxPbVSLvpXlFN
nx07jXfpEkB6cPW9aeQLJIdRvYhENW9hnMdnIdpwbcbT9Hdmv1/PLL3KBY5uUYZZDpWV/SHy+enM
ArBNWs/gG9eEKK5LF/bV3iAN93nGjLtBE4uaMdTXTlsv76Mekyie6vNajHPyLUPYeic9OzoxrG1e
/EbIDR2ruYeq83kKNfSg98pPZcN3yYeW1XA2IP0o+OzPNdlpVDcxQC43nuAJ1PZ1MttcwObhpc49
EE2hsQAcV/NuoFHSB2oNJJEFrAWpw7CJqe8bvuc0THdwFpbLx2UrM7gFzMzm27bB629JZBBsD8zP
gVGqlzCz1EtlLA2cixS1D2NnmirY2ulbZeZ76M+sQABIEI/j9L2nUx+Qj+RBAn7PRHi6/etb19Y1
5r/OK/32axY4+/YPF2Tg61v7p7d/bDC1Q6yMrnYrUT11lm+t5rYxHrMl5BVYmW3iR1cGuNgUNqrL
1JyJSVsl0z4wUx4vDvcgVPSiiU5BPsiv+eBB5Q6bkfW7BKL+2oqZF2MyVT02aW/s/vMXQFHHr0W7
BgXO1SKxn15AhQcOtnHs44xBrsQsfLprZAwHlu17S1fOORM1I+cFjSVi/gSgDFYA+ZUYQPfGGr3o
B/cedBN7rr86k08uFNOoU2JLlJ8Q6qOnwm9YZSZVTAX317/7x/P4T28+ugrfQkgLLYcm4NffnQQX
HXk4uteaVRCQGlTjP7iao+DQqrZ4tli03maTmu4Lf6j2XakdFXZVMYmV6XCqS8gSY2i3x8Id22ON
Huyp80oC60YimtYte+r7JVDp2Wcv8jDCGsaDoUb1A6GS5CNKxZuKxv5oLkuALaDBY9WLMa/2PiAe
IAIuoZQ20rSu76MXO7GygxEYwUkBNEQ2QKZpoZx4J1GevqKhYPE6DtExnRMY9JVfgTFlvPrdQtXU
ruxSoEJS0ra2iyPDnVPnbxZJ9IrZJto3dMXHQgzRa+Vzq1MTTA8ft15E/DbwTSOBE5nzf/ZVHp2W
qbWvMFDmHsYBeI7QbpDVsiXZZZCIXrnyhu+iKPUJot+azI9OfVott4IehcU0fp2rTFsTiUCZP5kS
2jTaOS9lTpq9o86oj02cTEwCbbVuWxvahSjsczKNauP6xXSH4pBnyV9fCBSJf74NUUtSMzB2IfSB
cvBPZQNnNYyUnGVXUlidvyZYOgFZo8/mglDBPduoZO0nES8gWRIcI2Ytv3p2t1wWOJw5XDR1JIrP
R+2VFacmLdSINMBM8/VgZKkGila7riH7cMWdZL7No1l84vjv3uxRDN/71BcGicFu6W+gNAJtrijH
boeqc7dwNmeuA3KsC+R5RVTsCiuCkYHYoT8EsTFt5kX6x0mUnyY2BuQ4wDMFD46dCrmbcUFrMY8b
1Zv9N6DLHJEsiDZtDahoshYEDVpM7RepLjn15wrQs3tRU35ArTjMbDvSZRs684slJco2drorfp+k
ZBPHDYESkos1s5VYY3n238G0lZuWjMdTbWXmYQmL2cCatTT7pUE8cwvuVoRr2efJM8+B9FkZxGph
QIONuqrTMntRqJBYX+eNFx8S6pYJ0IueTasEvixBM9aV9Dhd4LRTfTIZOu0NVXqbdsFFsHISGD/d
lIBEUX3OkVfUijdKjS1/jrqe22BO7CVa49sU5NKDYXmK406BzhY8dRYrc94SJ0rndWx5Mr8xuk6X
P+F8ibu0NrYLgaRvJa44HW1ZAl7iZDfXBuN8oNpjfpq5EAICDfA7GmJO6jV7WuezhYwAKRP5sBfQ
yVG/svxsurbUlofOQEuKU2VZftheHhyDfjEAPJc5mn0vgtVqtoTogIghhRqOC5kALcxm5IFchSmL
HTIS4hZJAU4PRBCRuUGvU/wAcHRFGKrH05St0WrM/WpdjHl55/tl8mBD8Mf9VoS8M4zwLx830n87
27/rbFl0U1j9+872WBRpRSLaL73tb1/0e28b+EAqkIgFlhtqvJ32ef/e24bWP12k1rQ2DMVQduum
5ncFoLD5K2ywIPFw8TM4p374Y1jG9A3hYIBEXPe8EDX+EwWg9+HS/+lhCVjDZh5PxRIKrPx++KdK
JfVSAj8slZymxvJRNMlaJ4zN3o1sfAPT72SJjeiz8FHmDVVZF7kgjc0hcKdNrLgiD61VRtx9dUF2
8+ILVnmEyY94Mczp0uOaE3sL5YRxycOsfWF6jdZtwK0IoAcNEBN/Ww2cxmVAbG4E354INHNBNVf3
3hlmBfs0bvXlyIHMerPKaoRtBY+z7WBlU4I+o45OPN/lgDbKoKjOZv+dLeOw6dD7bOPFZMuXSDxr
65nZvLux4lHYZxZ8Cd6f0rsd6cFW5dCj9CXB3VcW0y4gcaCgEMiljzLL5gtiqu6uje3yWmYwo7b+
VBvJOgum2F1VrhmTD5DJa+FiquHbN2Ro1PMhHkmZsnXeFAS9PS4ZIqhAFdU7t3K9NfmaOqLqI65q
cgmeFTrDijUrnjmnLR4tewKNlIgv8aAzr+o53FQ6B6vXiVgDmM5NYtkPiUdalqtzs4wZh9MEWu7B
8Y3iDhzR1TUZ57sfkVty8pN3T+dwCZ3IBbkvvyGQutik3tRch5YCELpeGt8ynRd3Y6KfSlCr+7M5
bhuSd+8i2ZY/ssEjRD0XM3ZLDr+49dWVdeK7G0U1MSBWxBSDNDF8zUi+3eUlFODxWp05Jgv3hHAK
EZLOI8uYNV4dnVHm6LSyVOeWyTx5y2ySzNzaGzdghm8IM5lJodfKfZ18hlrfuAz1VD4WOhetygt1
Z+usNKyArc5mv7RF1t0ZEyPMlDv2U65T1oSyp7tZJ6+x+4a15fKbkuIWb8whip8WgKQlOilCttcZ
Uha+bZa1dKnSunGSxjxxvn8jRHK8Z1dVXCgWcQKTBhpefZ0PF9h4oanxCY2T8bLcCYMQnEzCIM7N
qd7juSNnzuaK9j2y5+xcICqhVpStQ5Ixl/1tPTnL64BkNkUc1SUnoVOxpcjJDnR0wl2Dp3QP6j0m
VLm/8ZxQnczEux0G1RCNp1Pympp87iCbIHV/hOgprsHNpJP1+sjo1pTuzwYM4UQt10BH8EX+jRg0
tY9svnnss4eEtD6DOYdFc7YJC3IrG7PYgk15V+zmGS3Uz/NH6J+tvpR+W+xwjZMIWKY28ETySir9
Sc3fDB0eWOsYwaU3X0TP0nyYw+ggx8G4HdlJbtGgxJvMFK8chure1uGEho4pLPLYPc46ulB4OsQw
8xVRN9SRBtmkHkmHvo48jFL7ddAhiL2PmY7WwQaVflrISeygm61A7a3mKr2rdJSiQD8CAKbEoZFh
LB0lIeS/Ry+qK86T4iJ1MOOAdx6kQY6VHOrEpdQBjvji7Y2UhDou+eTdCnIe0XCOx3bG174ZLTVe
6AGe8aYZB6OZAfQJK6nItKuRHJuPBF3hld00VmtnD/NHxuRYu3dlG7xRmblbz1vCpwyO+E4gWlol
QRo9zE6Q3ruJ+loJSb5HU7InJ2Dbk4OLzKY1uy+q5SVrtu+mlYV9ExfsEEzb5ZI2Y/JiS8RQxZwU
DzPHLi4RDcOtMQkgapq/LH2YrpgEROuh5xpM52n+Es5Tiho2NZvHpp0eK5ORCBS/8r4uExGuhhCS
+UPsRtYRf12i9tIW4MELl7RTtWT1UeZDRE5T1RWbWlbhtcv8H7Im8Se2J2s3JkFBDEVggRomBR4c
l1eV8BpEWuLDXdOREQ8lNdXB0nwHTNDlbk4abU/D3q3Naslv1rWZOvkEVDTpebYYzXtuZPXMZDPr
obolow1RvkWYtIIZFxzynsiM8yRa7zLxwH502ohbJGfFjU+2G9zPykrbU7KUM1vKxXHfOq5+rIM9
TcmaxaQvVqMn/WtTGAHqEgvre80u+9TMETaXMKti2MbdcWYNep+QJvwYGJmDIgLg6T6BNTauw2VM
XmUg1HawRXmw0jj5iuDAROwYtDBBCasV59hhr7zyhfRZ8I99dBwkK5TRGYYB08diXCRH+48qF4BP
HGGPt92g1AMNF6xX35uJW6C6lfEqcxmyrsS09C9m5DRfm9ZMX3kms04ay/5WOUt5Hw1u+MOckn6h
e4kcSux8eDEQC9+VJvRMkPbfy9LxvrlV6FJ4Mg7rV707kJIbgsZ38f2Tro5Nl/ph3mCL1oF0uEJJ
i8Oi/NwPs3smzKT4ZmRmFp1K/EqaEJuOl6gR3jPPkXArScra9YTiGViffRmtLRZz8bHFmvmew8EX
HEZojUO8TA8TvhyuyjkxHtLMY8FkO2X7mpFVfwcoJY65ijvh4zsul2PYN/k3QeNFX1M9FqoAiwj/
LToScVZurDzhZpWsue6XBhLnmt6clZCtiKDazugEb+mtx1d3nMfvUZA0Xxj5D7vKyIhEMOIQ3/LU
zMaJGc3wUCEbwo+DReFdmLO6n9sK+KBjBOrQ+7NEPGCM8ksYT/TlCAD7o7SYZW6yNMPfGdL6vjRB
yh4uqJ3uCp621xY0p7nzOlkcuedSQhlYl8/rWUwNEc9JuHX81nyNwi4SuIjNHCDiYLj7vhDpNQol
MzhipcFp9rjsUO9nWOUSNnAukG3CUGz/PI9dc7KSzsOzJ8zNPAAJLWwuOPScWCiCVmwb023WXgaq
002gFa4sJTE8q26jaKPPGJt6hIBR3W0mP5NH5Yu2WpVFheu3zfSYPe6VxTANkz8oXFltO0FWwYoB
3fLdo4C6JZZUbpC/vIk4CT/5TKa/1rGqd2BFgUxwxEcl+adokBmz5JyILn6nY+qb/m24CP8LxvPi
IBM5x2s7diF2zs7svPkjyYLIoZznsEsSpN6lM2F7aAcFQAGsJloD/phDIg8OGVuOa5BHzYBnJLG+
DiE7VQy+8gvGsO7ihh3hadlkm684wWsIxebYcy2Zql8FlW99CxuSyLZR6cXGKaiz6HMadtUnVh+e
2jmMEG561c8kERgGJIQWxQyaiPyYxfmDufTp56by7+J52NRJiUcsMLC19cSRzV3I7jQ0IXXq1WQI
jh2xtbTvvYLaMLBif8/ABIe12w7iLfTRapH5I+PnSsw+QW7lSByRhbabRF6VQlMo4vhOdfbC1niJ
jnZWsOcQbrdZ0GPh5zP7M+oRokBQHyP67Nt12nv+dw/1RbIaFAOD3OvaTzHOnTePnnI31CBkV3ya
IDAl2srbxJ6QuFJm4R2IXFOu8OtkguWxyL5JMxwqtsT8SxpJwdHijLc1A5WXIpqKp9Q1E7SfQGBb
K0IFJ6eQ3J7cw8rcluE6NqkRyzE+BQt6sl3FVO0QpCGb6cqO888q8C3WWNHIbDRJXTgIUtrelhy9
5SY3LHkaWRmeeYXF2RZp+h4tKUHyTF5wPDfDLg6d6tgUsUOg7fIimXn3a8u22q+x0/gPDhzQ7xYm
+d/UXf/tkv+mS3aYu/2luuSx7rvkH+uvbU23/PXnXvn3L/1DWBL8U7vekIYAYGPd+i9dCWY5EFa0
xA7Ckd/+5vdO2XH/CbsMR6WN4kToLvpfnbJOa4C2pYlSiEEc8R/xId2QLfTPM31t1NPCEt2Pe6xV
/kwn6+ElVXAzGLENvjXSnXHFr6sqDfcJmZ47r7IFfgoygC4hIxucuSkl6ehN9WYoErQnrdNbT1mU
Oi8f6CcMQdXjoLzoC3g9zG+LM8oD0AH3QIfAaByevnuTshLe+HlVw96Zcq/cdAY57yuEl6FzDgoj
ucutmgUoLF/n1C8NeXBNmMZk5czzaIHX8Ag1ItKx+qFK3NX4mGaxyw0l7hk8Tw88KsXaqHGVbc3G
gG4VzcRh8hFUyEucxMZ/MPEspirxbrHlRZJ2izVdXzrOaVwCaucpNWFyFM2A5ItfasNQv/vOT2GF
1woQ2uuorxQIbtmQV+p7xUyuDZvtKULXveb8YcqaGhh+U5SD/tZhpfgj5QM/kAgNCrNyR7K3MGl/
WxBlE16BRO1FEsLI9+U3exHSZe0zmvmViPLpIdIrb+qq6gmiUH3fKRItcX/TpzPCsE3mhYkPipYp
Ns2qaen8dDxywWUinGjb0GFC1bEITFqZDiGOK/At/oVlgfxixUHwEBX1yHBuaU1rE4FIqWiYxnrn
B4hr3IVhLWa9+9xqwgeitVG9Z2gKDor3j4O14bnqpUxMk2Q8ayrTDlVyycLSpVq1rCa4GIKrJcuT
ch0yqTiUFutMGiHrKarx2aQznw4QZqxdvV9T+jaD8bgIzCqen1knocZx3RR5LzYpUw51WIyy4zVb
Ds+rtHkbl7J5bfvafpEk/zlUqw1DCDeGvGUZJe5p5IiMJ8c5vEwSVRFUx/DRhn9yoUXF4RZOrUEa
wuB8saNJKdQ/hmtvusQYvwYLNpkcDeFZSoegQHjPWK+nrMK179OYHXt0loido94427A5xvVo+7Dn
zClApKScUCcMurk7MmOV/dVHjJifE8YDD9TG2Jis1vM+VdYsbhNlmGO8dgphmDi9Mpjfa89qF2cf
U0CE0crIspENDBJbVI4zgQLBa6NNgEYXjg1+LRSVfD4Gpnl2n30zkh1E1lHcWovdHyJWhN0JYExv
HoH1zemLLVXYnVz+YTPM5fPZj2LjcWZHDIE/QtteDjfp0KmXpCnv4G3HZ6a8afiO0jUjy40Ctsbr
HlNuV5hIC/MT+NmUffDM2g5YyDZqYQUQsAKqwDGLI4kp43Pa4QU3CMK9xdHQbJWkbOytZJMWPP+w
qdm4yXKuoWcP3LV34PY2nvCORfu6RaRBAe9AYQcOSgppZjcbL58YHnS2glNQ8TscZjOdeg2g6jdz
N003BtlZx7onc2oOq2u94KzMFFK5wVLrMKin05hmPQMvAjEEZRcDh2lPMq3xzV04aYqoXfNM3k+B
RSGa2uw4ZeffqXl67BYVb1BIgC7L3GerZXmZ9X2/go5S34+BeWWKbq8G4oFXcNoT7fWgxi8YIwTS
i4m6g7CSuRUhbVJ9Z6h3Zy529IorF4cREdePlTcE99lAGuycC3yThRoe8KTgO6jxpo1pMu9Jw7pL
m2DeF8Ls1gnxkLuZDmQ1GXyVBRBhnbZtLcEfLK915LvrufDvF9ne4iskpsHWqaYONifyBdodXkCE
+W003tP0IH1T9VvIabuvgDRsUzBLOxQRGQwMV62R4UJPrOt0XQyDccrK1GLyM5Mn6Mdf6tRWm9hK
YBH5c7Wxwx47Wle3LyO6t4NZxt2nrG87LozR2Mft9KNvPUyTWr/StbhvsdRGXwjAYnL1oZL1MkEi
Im2reey9eswPTilc0iBBaYRhy05Bxmye2M6IUxAhrScH0L/0MgnxH/BoykoQOZ0rsDEM3uLfzYyG
tAFPe5KCJu2uoWpo0RpX4yLLiJitPrlbwqB5q2rcl6tlSvPPZBWWO6sfIOGkdrArVRfu6wVxkxwj
8yVsY2PbDTqWF37cXQUE/2ZG43conTK4OPzFrcKxfK+C+NmPm9JcW2FDJCqGyjvSeC0iKqYut07u
lMXnMC8D/EEVHUzRpb2/zrFbA2Xy0gWjaomtssM2MNiWc+doKcJSJrTNBsS0vV+j5fGRaJ2MlvyQ
Vsb9qgGM9dxJU71wxUHmSXsQTqbTXj2MMJdp6UwgyXm1CTpx9PqCy0CMO3NiiTlZiTjYdhtRShMB
zw4n++4oUX5nIwULLMH+sx66COlhKzzcfgTmOOsMqMMGCpb1qU764Up2Q/BtCnrgImETnJvI/mKE
/Q8oHPFn1GiATAhzWyvhfqqEa9xyT+Wk8OYQ5CzOuWVuIgKsxX7C4YbP9j2wG3e/1GTOLREZF046
f54Zw206QC3/j70zW27bWrfuEyGFdi2g6q//gmAvUlRvyzcoSbbR98BC8/RngEnq2N77JDv3+8ZJ
ypEokcDC18w5JvnrzRux5ERVW/ohRVi2wfZQfQsDSQZpooGzd61kr0zMhb45w12aWVbBYROLFnNI
sWeK2yLsilM+g/4CNKLTU4cq7vwB0mWFbjuf6XqWUj1vv/ZJ9DSV62W14Wsx/tQVU45sL41kXjuB
btYrbzlcU6deipmarbbdEKnDU24TkY/xZqbpk2YKDDZDrX+JTBgwZezKb43RPPTK+B4wJ8Ozjf9S
k69gGsnScbp4N6a6PHpTMJ8qZO8rbC+vZTiT2eH1RxI3As7OqtooTKBrN1TWPhmn/GARZulMuNsT
YTzHw5SeMq55PJXC2BpN6+3MpIv8Sk92eDerY9mNj/YMo48BFrM25UB7S+avHfWn31l9+YgGCZJK
O/NeB7k1rUH2qY0jyo4ZZZtvx55UvkZzP4LQ/GyASnnVa8e6kECY+bnr3NdGx3XlfORmbhziuceW
FsXVTYXN7aavzW8yH3zqgq+tm9bRuudH8g0krnu3CpJVyxRxE9cRdlVXRATCD/IBoU3IDGjARUn1
eDELGdw15Io3fOhl1uziSL+NJra9uAu5RA03JAl0BFhogOi2quR5TCvxEDBKwiyGJ2glzaJ86KO+
xBlFtrgS/HZ4PW0e6SetbsUaK+VLl7CqptisjeICyBRoxODdoDj77sThvjYXA5Kmk0XfXuZscfKz
oWlauUqA4DUZvJu5HZ+Gtr9jonJhpXqmWouBxs0T9z00yAlrFjVgT4Zkwm3uXHc+jhU72OOl7ZwK
1N4nkdeFHwmEEpMk10NL8/nObFh+/Hc9WnRxN/1N42cgUWRd+Bfr0XL4qd374wv+aPc8/TfDkRIr
FJaY/+31PPEbjdyS5kCtJ82fwgCsZS1quOTCEQzE1+Hk+mMtSiKYBUsLkQcr1muT+E/WojCnf272
sCMQoQe3ZdGPsCC1ftEQTXnXqULG7lGvc8qkpK3WA7kzD6PlpF/zQs2H4TqQlJnDcDK9zimvE8vr
8DKQrXbHQIeRJnMsdWdj5HtJqWDsm3qZfkZdnIQHOE+MJ4OiB9hWX2elkJ42TE/kywTg6r5vKguj
JZk8wZEhX/ZVLVNXVffuSzSWyB/n61i2u45oaRFzzp/hEC3zW7VMcpPrUFdcB7wk4oivZDBk3wrG
vyH01tvEG9WnDsTJAxNsxsS9qoLv3TI7DjV1TsmkZvSGVvIVy3v9BlFJfRp5PPsm5sbvmmUxiPbC
pStrRnlXCeXl+A+t9g6p9AiKtjGAr6JS+y5zTbsvi4S6W6o8vFWaCZjqOgQPGS+zcy4t+4TuOE18
8NgGA9iBPOwZd8Q+E0G7caC+vxqYLkffcnN31y6LbPANInucjCi69E7PwLovw308ZOEupDw5Yg5R
O70cK2s957l4zEGFELBQRFikJwQjZCgZZs/CJC2McF3Ypfd1MnQ8wuhWpe4zqWTjhsnYN4O0PvZB
ShxOa4h5xTpU+Fk9ejeLPuW6Kkdk41XurT2VXrwNlOwflMyXDIeo3Kea3r5HWuB2vhcjM/HtWVSP
dTZ0R4w0DMZNkH3lld5HkZJdjCvTz13wfmgdIf0xnlOfM+hcK4GRy2WbvFABoQyORJQtsEAyGuEG
hjkIwWyBCRbRMum7EgYtURF6fuUOIiqku7nSCBkJhHf4Or/jUYVVqF+5hdqCMBxI3LFX1jBDAiLt
qfsoGkuQ20SW90vQj8kBmWe9QcGYWIeKCvytAhh7J4aGWefCT/SuKMVkoSoaJQ3RaoyN4TJ3bZi8
1HoajAoHmBuXGT09G8+dNFT8MBDbdJebjAyyr3y6SKcIUGti3lvkUYRmnxASTmV8qwuZB7dhW3tr
6Czk79qY5QdnQLY3GeZz6PIaQVuvIco82i1N61DgEfIRe6liH0Ap2GolrT0rXkEsnSmPbGTSbZun
Obc36AUkzT4a92ElC2aPAPzKTasDKq07I9gmEQxTvOWIUxGRrhq88ussNW7MziPCWscUPJb2A9i/
PQAD5zRXdoA6qGFVpRfTni07pK5+ZEKwOByDNfZdrkC7qPVbjeU+T8wWWAhbK2+Lw6Y7gtDMNzFt
D5QMbzj11hyvhzpHyOqwx1uVWMvhh9f90Uz6/AHHk02uVSmcnUiK7kHz2vs5WsYlZfKdKc0zzoAV
sSLpV+hh9joRIkKYlbRPWm9mIChG6VP7RiRjOcYjmWacWi6B4pRo7AN1kYw+kVvRCjCMS2VNean6
9I4U+Reg3ZkfztzYGmTZpAsfhCjwOaMT8wP6CD+JdeWsRjqmfTOLnHwwsbzb5fCEchkWO9XpQZb2
vDEzoXaumZgPNOAsLLKZLDK7cQ6S1mQjUPcRX2a3/dlh0IONMRlPE0HYnxgG2EgMnWQdpexhxyqK
jrLv5BNa//6mGkQ2ckgxnQBWwNlB0negfeg0PhV3fjhf9BSJHOV2cjcrzsY0rNx9idlg32techoM
zRs3YRuO28Cc8R0Veu4PCJt9ksTr2ytRCBriMtM233ThTas+jNV2DPKZ6Pm62+St0nEn8KbcD1mU
boKZPb0vwox327To83xX87yPGNgI77mlWJrGYzf6SBKLU8xa+JIQgPVV6chrVZHOu6Xu3uguqj1I
Cv22ad38MyIAmFuYZpG48fF/Tlxnazq9duukY3ExoICwvwv1J9Mzs+/tZHev0gjtRwnZ8J4wvnAz
sfTfZhUDfzV3xCjqdrvgdjQg166ZcehGcf8Y21Z5dKPWerNaLmnLqocTi8nizLCh3Y+aY1xayPc+
OOaeu2qYHkMjX+xjmhHfdsrrToxo1Kl1SE7WIyfxFbZfwtldjswsvECgT/YxSkx8J71kyKFcydLU
CtdWguIVpV80H/WsirY5bn8SkrPgOSpYuiL1dtovDB8gVc+gX0+mStt9awZ0FrMxvucdheJsVfOT
pSy2QEECsBVZF4go2JHPNSaO08ym4cQmSIWrTOgJ11sdPTiiNx7pcMztTNjAehpIJPTF1EWfqrpq
76wZYlnUlkvq2HLa80Qf36K0zp6syF7SCgUgwWGwCIo3bTBSXJVHp+nuu35qk0vYWEbXfdZrsUh+
JkEYnv550lju78tRNvEnhPFB0fldKXqeRKnuJpe5BBMJN73PN70h6jUhemO+MCvmr25HER6kEOkb
tM+SlspeBrDNADoCLsNu0POnYUTxGqcMVLlIgwMfZbYGuZXdW9UEr6OQxz7UqnUtmtj/b338H9XH
gqXSX9XHN6QOvv0sHvz9S/6skO3fSDLiqNIxoEGeMahS/zTG6Ww3HNuk3EXChzuIAvVP8SDLmD+q
4mvANOO+xQknqO4QSP////dTilv7y3//iC/g2/5LVUwYI8EiJCxZrsmahr//wRUAxM/NknAUN7lZ
LcAXwSJkLQxW6TDPW63qappD9uADVnGrDG7h//EIbhydeNL1TItsPGbQ17UczZ4A+rPRkJ3bwd4N
uKL93iIKgrsSjudtGmHZl1uM7jk0vw7EE8rtyZRUB3aLsCTcgsHLxUnZdfsBeZYhNtCK+wwHMvq0
OlyjQJ8eNXdGxzt3NNB+7ZGNWa84BRNwYTT2+qkYjcyhidXZv8oGkMs+q92+vsNqlj42xOC8ttls
wafiUWtwa6mkuhGgQYMNgrzPGgupkpeYxLwZcQEwZZNSxxDFDmXj9K28UJPJ11pKPH9eOXyJlc1z
xunktuwnjGlN1HRYZ8yRJ7oVkfLYlVq1S+c8OyTw8r+I1qk/m61lliujZLBceu5HNi5JC6yhmNHl
04E/grPqhXUhjlvfwz80Nl1ief5Irij/j+XV931SRIiDp0lfdwMTmxWlt5eTIVpyENoBjF0oXWqP
eya/69EBgIvOWSc307BD0Dnde605gTlPapTWMeUqu2At3iOJj79yFTj3SaqUtVGlqV2ivEDr6Ags
COVonGiRiqdolhTebk+uINt9X40hImrb7cyz7Sjzk4Zp0F6J2rQupR0upmiK5FwiPlOxMWO8ctik
Qx7pN4aJsxjTgknscDBuLTi++4wdTblQpeYv2pRXWzfOtF0d1/PBRhT+oeemPEQQJx5nfQpue60u
T6UW9vnOJi4cttIslGFsR2V3aLVXf/4TGZitojM7DvyeZFFeg9Nr9XuMegWxvjjmQTtkrOZ+T1pH
3PnAtsId9JWCGDbMGzwThv7x33P0PztHmRP+5TlKiGH/kU4/rpY57JYv+lOGbfwG/dMwHe/P/fEf
56jr/UaC+HK4In12WST/QCzwfjMW8/6/x7Ay+1ggKuy+r8vqf3au/nysknGuM+6AxwcvgAfA1U32
w7FqEbjbuDPIYmVQ5/iY+uT9YIQz1zj86Limy1P6ewLQ51DVtj0genO9B1Zb3R59rdpZtVHv9C7W
9d+f3D89AX488Z2rQ+YnebjJW8LzRzeFyW7+13ywsXUmJzVdcZDKqcoLaGv94s6CE55D0knBLZWP
sWFr9sbplN91AYM+y8v4t9kNvjam1O9btvd1s6kAnslPIJrDWwR/Q+fjgjRe84jNY4NmvJpB3AnN
XWcO5rgLMCfylNe26DR3zz6G6b6eFqi2DQB2qKJKm+iT52hSIQWThgXW95ysRt/ZZtOa+guWmZYW
3tFtemODUzrZjI33xOkeMb02+sq5I0q4Ay9YwQ6IexwcWMn0746XNx8FddhjmMRTSlBQNjnsR6yK
SF2Z6CCWzEYN66FSZCc7fce09QpkSktbv6cPXauF1kRerPnUxHPD3D8PHjtSns5WSd0XeOxH9Jrm
IVroTzDK5p2Vuu1N72VEUHfodcg7WEbyTqxOImzmU4xy1O3gAdEvzsaDDWzKXqhTGjuocj0TBPXZ
NQpTrvgWzVkLS+0eERQKXMlQd4MUrX+U+pzfotFlKty5oK7A9zrxltdexPGJhanJKaPJl7VWigfM
4uqhqiJMMO6Y31URmM5qZVhQXEBihmiHRlzFl5kFIK2sua3ZghO4Ap6twHZ2GEXl7LIsL7YVRMHU
Z3/b+4DTxGJfM/aQxauNnD1txa6/pj0mqIZJw+AzCRf3LguBG1ek7NuwpB9DzK1HzxDuMTL0LFwH
hZ59xibaPpWS1rYeDLZ2aa8xUGnjGdW7OZ4spcuvoYzEFqlXvcGkisfdhIrLAq7ZmHHJojuIlL2d
sS+iWkur6C3lEl9ZZjP65CoxVuOEf9ClGm5xF6obhzH0Bv2dt7NrYro7DUmaOcQWvxBhJVGXN4it
iBkJmzji8m1IltkONCGTPyOF/IzQhB3ImPHcdL1+43iD8WaGSeQTXjV9M1kAnGuUt4BigRExvmdD
3jGjeOWpi+0+kJFxMJVImnU5WFPkzx3CXrKMQAWvGGq37sqsc0k2PetIMsExNq2zkHR7dPiB9uSM
Lf4G4ps7pBqNceNVDpfTyPt4UHJm5aI7eXMzy847Onr2gDkxwI44zrpv9/XaMeGrsmqcMvovFb6j
QBvEKs6G5mkequLkZZ7HWzjX6dlxkgD/oRf4phsT7uxFbo1SjPpC7eis4QIyKhnuZYEmbNfmIIpm
C7pnNMzvkluGQO3WPngC7CdjLyaJlaGVbG/l8KoiRnKryhWTvsrDuTDAPDYpErKhGCaU1438UgTS
69cOcmby5Yk2ULeswZFKGPR0q5whNtIz6JL5aWITYa68SalDGQq4ibSjTDQTBlyYLEo2BSoOzUvl
9NlTJAZg7kwMudNZ3GQXPOjVDq80yxVaxVKj+zaQ21dMNm6LuW9uJSOqD9KWpxfqnvoh7q0OzCWw
4zNW2ZrVCNzkNTsp/QIWrXySVEyQD/vYXuslfy+4TD22clN0VLPTnCHTR3exOaTPVY6pDRq+sWSI
lmvdM2MSBErLWzltmn4QW6cxxYCdCzfCasRdG0+Z9nmJBENRX9feg2kNbryRbJf5TCp4pFtbz71v
RVlkN6aRF59HtjJ+jgr7AbFEsxdWfJdTp4OKJbJrr5sJ6u8R4PNJNUJs5KCaR8cqZwK/NUe/457S
DumkWi7JacyNfdu04Z1t2xXaoalLyQvCv/gFth3qIhsJs7NryOtb4MDpW1R7tYGAdVTnzs0VL2kM
DhIUy8Uhk9JvQ7LotHTtKOTnS2qE+s557j14WjRsaynaL0LzeInQ0+cT8nBrm4ROgcrY7Df14OAZ
0KrxkMg0+IwE2uAPLroVj0wELXpudCsWgUiRJM8/pluy3xmhg4FPTmaUrvTWqI/eCL/uAJCvv5Gz
Ox0aN7L2CAjtT+D8gWRL+uqivicPdVh7srD9MtV4f0ojvUloCe7ilJMXZT/2TsEMYtUjI95NKWkP
MSbAJKCwnkfE0GmoDSvhaCNWxVzjF04mmB8cuKXtJHc2zQH/4zyaF0zTfJAVjtDbDrnERiM6ftVn
VUzUzgLpIaX9SzKk9X0Du/zGdmo789sqKl5th9RzZcG0Ve3EPe7o8iYLm+Yj09Lyg0vTAc0zyZgj
I5HK3UyAWE+8H8RpVAUeYi0W87hyrEhavtHi9tr0k4YZCcu1Z20n5AbEO829/iKSriuQVNWwzzsZ
MszzCiTrng5aj1l1n6G8ciyPEI9IDnTJ8J93VRorjfgyvXmNsUe90O42LGzfNDtRFw0358Oki8d0
DJxdkuQhggS7kbNf4HY+t/EgoLlSXF2CtLAPlFHll6kMum3Xa/m67HQN9ZeecEdrVlJ8sXBaXHLl
hd9qOxRriNpMz2TU5Ge3BsDbcoRx67TTzHhTmYrfnnMClUFHy+RS5KycfBjeajd77yLLgHZqWLY/
JPAdE1QWkhm6qzFJxyxEIFsWDMVGK+v8YVicZOXiKbMXd9l4NZr1+Txglh7rZtcIPhATxdC93aWe
cYrZkzlrD8kVHFs75nHt5DZyrMXgFjAe/sDYUr+7Xo3/rZk17yhRgi0FpGM2GwOG10YFc4N7arHQ
uVc3nbcY67qrx85TAeBhRw7xmuInPprAoElcvZrzmqtRL1s8e2ay2PeUtVj5UBXjlbka/HQ+fiBa
i+9PJSA8sXhwF+zTOrBHMr6CKOBpalNelZnlPo6Lj7C8WgrtxV3oNinnauRZ1c4tRZacYUCnI/oZ
md8mJIG+NKZXIxIa5Jc6cJNdSS0EfBZay4dNTC6ybFkXu7pt2HppaKws+DczT4hasqaO88q4A74R
5Ucs/R72LVl99wrdRpEDFO9QuUmm+0WpNARoPRjWsYdl2d0IdzLZ7vy3a/uPujZKWYZS//d2+FT2
wDjeflYEk6W9fNWfbRtkODqj/82FR5P7p3vWRt0rF3mvC2cNoiZ/9acm2PqNRsWEUeeyRPbMxdP6
x0DM5Bt6NIYslnF6UA39o4GY9cs8zDC4rVkRs8amEZTsFH+eh8VTM/RlbDQHhwvXXSeJZjzoRMmc
XYX+qqwTt8PDDRqg1WTwBCeoOUx5ESBAirGt8rz3ZQYbo9RFQegamh1TGVm+ct1Ue3LR0axlVOEO
LPXO840oGS9GAUgmWUArYxRmL7bJkqFagBVc6wGLKBu5L72AWhNKA8g51JsBwIU27zl9xGNf9OPf
gGZoj38URfMOLOwt4EQmAhUTkfbP70BCbUYfCmiC6hLBboBcJpzgwphdt/xe/Nw/XCJ3v3eeP3Wk
/+b1mEEipmHyKY1roMkPrbKpsaQN07Q6DBp4kTHM3pf90wL++WNq/X/2vovx+YfOd/nNpGWyhIUe
weTgmlb8wyvNDPBJCRUZi/66XZsc2hSODgk8wAQelZnZiygvePjHv96SCMM4gIsJ7NMvqLFEN9sh
p9hEy8d5uNJ6/K8tAgVnTYAlGsp//moo7hkhQ1cTiF1//vBCzx3iIk+yg6EPTnoumnzejoLF/aXP
vKe/fq3FEvDr+4mCnheBaYWi/Vea1ZiGWZSnenyoozFj2UnkIImzdV6uXRS4qwjN0aWnWz8NEDv2
mLy7ahO3ov3Hv7Oj6wB58HUzWbflLxcsVnc55b2VHOo+BRHEM75dizAInjyBi/FvXuxfryFHJ5nN
ZLaDKoVp/c9vcENvbHWNSPCFzfN96TawwTXuYNxNaXSY2pjFpSxQAf7N6y6Xyc/XLpWbMAx6Y8HE
S//lXErDZIhDUSWHYqgVNTif5mD1w4CorU/+2WshYuf7e8uYjI/X0K87gx/uExv5vqEiLz7EtPDr
epwkrEq9mW7CabCe//oi+uW8vb6WA1gJ3tcC0TV++fCSnEaj0biG5mkejDWq3fyYxZYy1n/9Or+o
f35/HTYm3gKd43I1f/7cepG1jSjHGIgIVTjVDO3Dyp4K9pDKch6jmGzg1dh0KE/npkqCDZ1VdP7r
n+GXa2f5GVBPcNCBgIA8+Ou1o9Aqx4uo8RAopNSVoWpGDDNQ0MCa8mMZunSvwpr+5jy/voU/XDrL
y5ocQWB+AVPgcf3l0lGhoLoLZHyI8Ep/ahKRH3HlTLcVW4RdQ7APDlocIzhNSWOXfgBGWR0GUYxf
ERfVIBDRAR3ToAj24bLnIQWcP+ZEu//rd+ff/ZwOHwwbjQUr+68phY4VDLPUtD34KvGOHNBufLK3
PT6iTAyCdQa912pKNAkdAV30WVcmcwyrCIJDz7TuBhNgcBhj17r1NNHKrVBEr+PZ86Ta/fXP+q9X
rQt422IPB+1D/MvWTPcKGv9siA+M0FCdp1gVU9qWttv89ev8ctfz0SGn5SOT0oRbAnzs56s21sB4
BVobH/CpzJiQFjBTQTrEDRsW5/GvX+vX4/z6YmBIMBxgCsW0/8vRNrmt02Lz4DgnbWEduoFas57v
fchQKWqJBVM2DtMNOH75qpFvsxtLp/ubN9bQr9Tsny9XF8KvhPZJUcCP88vvnDWVZnJnBHvZExJz
kJnJYdp5o1Udwr6a71nS6e/OApyLiaNkg1VFgF/jOG2gduSwylpIeUcPk8odIgWQay3pAbgasg5/
uIlg9JxFLfI76FwPc2YF39XYZy/ulJG2njUjEre6EYuWIkW04zo3qtE5cNE/mA8OeWCPQM31fWe4
xinCxkl2ehWTNobN634iJJHQZuZL4Lz17i0LJv0d305wZpEKHIo4muA7bDKnOhZ5jaKkQJ+3n1vD
bpmOEhCxwiq81Aj4g/RVUZv2W4RD+wM+vfU8IM+rMQioXPNbxjrfM9XZwzrvRivatG4SnUOLO9t2
OFqMRsXvfcThXbah850BsmuSC0TZSDumu6E/xF7Yb0FP2LvB1imGCjm2X13ZmyRT1/KV+PrGJQgg
4Xrj7g+ZGZYeLw9IQYOS0XJ2Yq2Vr7NN2PKYeuFZLl/bMnQ+h7jBcCTHQ4vwiuXdk1da05nnTPaC
CWe4XN/eQEC4NIkWv6+IloJDRdB9dIClJKyjCRrhTNp0zrQHyifD5etpBaPhpulmTijXGLUvmBW4
Ikt9hO2UZca8xwzHezc5bozuWNejJ3tkntM3eqbhOtaLu8VMvahs+D4Dbq4zlu1wDXgjfm90byhW
AZaWcOdBw8J94vBQSELLenaJ5DFXKNfzYw7+8T0LcxMReWm/JU6NMYWbBnxeEOfzvTMw1/K7tBnv
dFWPl3hi57iWthF/yUTH0TQbC5dDh+9gLddhvqBu3B4VFiFpbhev59GggDFyiMaFyriWZN7N53CY
soCorwUi2LUK4qSjsRda0AdrskkYcyT8Au2KlQnQrJYLbEOKXPUWDSG46tHl6nUWKFwToDHdo/Ie
b4VDQp5AAcfnGNrTOdSy5Ji62cabmcuxwB8vmG7qLSQIA+7NXG4IZcVOo5UNkK0oPuhuU9wMIbt7
JJDxWpBjcTZIzDj2tS72iIODp7CTm9JmHFiLIj1PvJqP5ZgV+izJXJ9Z3xfBiKE4sV5dl9uusnPk
nST4IBcCXK2NZLnT8/kG+/mtN8KawbWeYfGZbPPFi9UlDovpmBjeNoqQJyIwLY+s45CBaX2FWoFA
cNwRyTFL3caP0jTDOd8BYGztYNU59iuwG+sc5vGlISFpxcJ7XKvJtX0eOGQf1vGzCAR4gbYybzJy
ofU+dfyqK4Zd6mFoSWeAstGsC9bbuJViL3poo+kd8/db1WtsabTcWk8CFZ/JuOmg6e7nmvk9Rhyr
IjRpdHmqkan0Jbfs4wxrCmpSfBuJeFintnhSKrgpCxl+7hA9bCISE49RlnMA20uNlJvTrYgta7GP
1PcGELujppx0Pc/ixOhycivofWBXvHQ5RML2G0rNaj8ZJaCOgshGKCmhlRyN0i6NVaCF8tQ7RCAy
1iGTh/GuOT87s21tiXUPenw+pneD5rK+UCjZ0XqAcklIC2A84IjhMza64XEqHeqHsq3ccFWpeTqn
crYWu73c2mnnfsUw1RzGTIwHZsMEpwVU0ecm1B9cZxge5DBNGEX7frM8f1AXlpWK/Liq87u2Yx4o
udOyAxtJSgEzBT3STNQiqct+Ki1E6zNiizmKSPwCBsATQYae3FcJrQ8ig3SdU+ZtSVxk1jUou/Kb
yswvrd69ELBSr40hVrd2PYPdCTPgO+tOYIbfsrJE11i16bZIUudOB46wFbIPP3VJONxY/bju4mA4
JkOvg411B++LBYAyWDkFWApfcU4eCq+JjojqYLOYA3yJWeVcmAm1Ay1Cpt1nUyM3+dR8JoLNIQ8L
8WtvF+73zh6RpgpS6p7M3JGfxmH25p3uxBqw1QGNcNlTjxVjva/m2bsdtVqASmI5ZZVExWhdLfd0
0B6YW4JkVpXRN98q03U31ZBM8F8tfI62fvaCBtqPzUiSEXJBCVPIHZEz3n0W1NgvAiuwaP6JBGJM
gWdVizWmD13mHflQvcfRQV7OQ3iJKNeU/cF+qb2XHRFdY120a7eszbUruASQr1arKQid3QDGaivQ
tQFPiO3ndGrLO6h+1ioPjOQQJLW5IDzjtQVioVaBsVOOw4XtFWfB+MAPcs+8C+sMI3EtrZMXhgjp
qxn6sVMb69wdyl2mYwzK5tZ96xccBAdN7auWvZ7vYscjbT5w3F2kCpO0ncFoV2EbgGLQR+u21zEX
63NA2e9ZpWAQryXFZkq10gaQr0huTAv56qSCIU5ZhzeII91yHQR2dpgI2PnW0Y6fkOr3952tET4M
ulO1Putqnum2NzTLZNK5pWNHDIQShgbAKI+ZMcFBVB35b0me3VXC6S4uIaB7q24jyLieu8/xJh8G
tyDKyQjcmxKqzjnpUeTYocrf04JlySbFafbJRra/FSJJv3tODs6tkmxhwVUxS0qy5kW21Zecb71p
6pLNgefMJvsDLGVvemUnZCdprXYIq55a1jWwVtZRgcE6mfsbI5hiXy9Ztjt9vElz82PQPLyofRUg
lfdICSjCcDqzrSvfpVEoqKMJmeAez0AGsPNuchBHs2fr7gxdte9Jk3JmAz3ELRR4TRp2vrJlnTrP
nd4Xsv3ASOLaK90uxuh7pE2138Utu4rQ7grapE77XouoIImoMm/jwemf2YGrd7uJ3dew96CaFIXH
Cm7UZ3fBbmC0kFiyi7zYa8KejqxYYcjlQsGIRsSqp3m91lyVEQFdL4vKITV8qij0DPiLcNnVTDUI
OMSLkI0EYtnduLeLRD+zJcpQiw88M9hcTblPEJ2AAZdiAlwZST3ujWDxAzR51a872yw5zqY5fMSQ
Z04+4DLsDd64+CKZDnFdMpX3cUdqTzG8x62XlnxuPBR2ll51x2qO+4+K3mhZjGTrQst5Fxo3/hKY
y6XMREk/R7IyC5R6zbgXuhW8TI5pvWlmpUGs7IdT4E7hk1PMiW+UfNvRHr1no4ghGvROQyyfHVNO
6p7P0v2ZwjjYdIHQ0VPXD8J6CVnRwtXieA2ygIsqf9GdQl/prvYgFdDPRBazj8ZwiwJLEN6GqBbF
OWZWihNMiniMjYIIRZceG60rXk4QA+9pZkaFr9Enw6kjQ32CJIoSzdz2YvgG0Mnb0cvbfs3SYJvi
H/LTXBzNNnd8I1bGihyurQvax0fPrK1lwOWsJyOmXCff9bOB1YRvHJW9uzOnGtFHPmU7WL/jYy3M
yDcJPj4TQPZdq1gz1HNerIRS5jFmsLtpmWYd42bK9p7OeMAcFTDYqsEqB3j7Pe1QntPj89ShEDra
fWlvWi+ut/nQYWzoxuSUGuMuFXjuLQoun6ZaoNIbLwOqI2hXo9g7DZBaPVcurQkc7t5FOk4peDca
rb7qsgTRW9d+63DzbSrSTXeGiFl6196XZtLybTNV4qarmB3MLD6SoYXJqL3Fwt6W4MypU7zbIm+P
uVa/Dvl86SEBozl+hsZ+5shlYIRS+kY08/ekDl8Mz3vA/LerqKZh5WVvnh4jEgQLtEJB8G44euvP
zSLi0wznGRoIML3SfB89g8KKhIO1G5mHTDTdGq3NNumrm5H1H6J58cEuDuYTcXGs1jQ6gnDo+0+z
NX+MKj6IpEdnAs928CdvCj/paPBAXDRuerQbVl/TNGF/IE7UmDeqjj9DDgfQ1EUnp37WXdWj+6m9
TdTGj9IKIyAbXgrHWfWfNbNxN+OAjkrRw5z6voFXMybLbT7pR+yE8jNU2YKFEhnzQHzhQce1YDw6
JEs7IT143SUugQ00mStsVsxEEztas43y8QE2tvcVTQA0Ka0i1s5YpV7r6jtTmYN1w7K7ZWFeoy+4
I8p9+X5mnSZvuKsEihxAFB0xTh1XtBxSNr9MNe2kW+nQOrdGi4hylVIP7aXVS+1/2DuT5biVbMv+
SlnN8QytAzCrmkQgWvYiRVKawCiJQt85HO3X1wLzZpUUikeaclyDvGa6qUsnAIfD/Zy9175WeB6S
oNWqFOyaT9FUtANHzswHWN1hnPeiLPzZhoIXkFFpMThIHiRbEQ5SOH8rjkUR074LKpYX6kxLTwP3
UfilizgghFrDGaMynYsU0/h1wzfu0WvC6YrYbE7JiYu/e2qEfp1qTtJv1EKgLTqXZWloU4uE0OV0
YiRj/5rOpA2kYgLeQ7jy1ogkUPAM+G9UaBS5I6jen4zWURsBBIkstBndW1UNwrlScb8ceX1VTevY
qVtQoj1bh1wT+q426E2zt+dHa6LUNnHFAZ2mLAo613A5X9Ec/irywgySpcO6suP61pHzOsMadACo
lqKqqeTBzFo+pK0VHq3YoSiA+PfK61xqBEun5m28vraJ0UEocggFyHvOCbjM4CM/v/0V3yvMT7rg
2F+5qb8DTDPv8WvXL20BDnU9SpMqgWcRizuz7dE4bNLrmUtx72fcTPTASLNi1WzfCsV1PtJGGSsv
6DLqxjmZbItiAOO+5vMrFjFwYgCP5U4UQFCqRHEBRIEXqJvGGdFdB5w9yY3notN56iX5n4dwGOVB
OiXgl5H97qzF4JyzjrSIeprUetS5Lhua6wMCGB5zH9fgjqe02bFV42zfdbkrgz4LB4L9ZqoiFC9Z
DDpSx0IdgXdl905zyBBjF8x/fdYu/SqqXyj+JTs9S6koegRsS9li3sp9WOp8O6A3ltFcbRWwPvsy
J3Dg2kH/cVGlMx2y2aF4Fc7Z8W3eafDGt33KE7BmmJWESc93+IZx8PRQDfj9YgyMGs3jJT7Fnu/y
brkneUeXzeCPPKvxunLhWAuKlGvbqOcrwj/LXbWU4toOmLkLtRE/MhEJ0BvmrbCZAcpekqX9fvmB
eSruI9PXNn7cewFKZer5bu0FY+nqz4DB5y3iA3lwy+X/rRR3y4D/A6/Lcqernh+0QdPlO0EzaPpz
TC5OGmQ0+ndJy7yPNbbXcKQBc70Vngx8kj9nw6aolDKbQArRYQRe8UIpsQRtVZr9Z2Uis/aNITz2
cVi9hDEUnAl5W73SYl5h2+roTQ4qPIa1Ub1kbosOrBk1i3zT/i25PQ+NTxwOuMISBWiHpTDK2AGj
WNj5ZWJecm6RT6TV8BcKPc+OpJjOV31bmZ+GTKXstPjFSYKOfxRzUSOISBh67NoeLSORW4qSKyxS
T2tfiAqF+kVFTjX8d75MsgsW32+d0/ZkQSQcPVT9vdQ9H58knIa2l+FRVzwdNKW87CNvYNhNPhWL
kkRk2atNVInpyqIEflWTvf5FDkhV17OYDSQtpnFTWiI8OrnFb07iJze9ZDnc6ZZD8YO2qBc4yywY
8DFcOrVDSQELBsQPDz3favA7Zok7698iPSXUQHgaQM245p2upBMGFadTRH+sj77NnYoAxT3MHAh+
umHNBfuoLEnQ0idmHgjvI5oygE4e4Tl7zV3CSDyXYx8G/f7VQxHkEIRrjM9tlYxfx95b6OZsyCWl
1DraxGwr+DJC17s02r68jgfVPSTkjP+oezv8mVQj4mAHaCb8HL5MdjI028lxJ8y5+BgPvd+EX1Kx
5CC0EoNh4FYUuAO0Qv8Ovfj//LOPbPBLUM8v1fPgRb38DxTpGOivX4rX//0/r16S8vU3bfq//ot/
RA4CojcRWrawzIUG7vj0D/4RObjGfyG9ph3jGERxeItL/t8mH7jijkehn0wkPhmmjmji31Z45A/O
YhqijezTEED+cGLyec/0c9pUoJvAgZmfQy8Kcbo46QdNJCxYaloUBCEiro0zXWFF++VufNzTp5eH
yMOBCUszB6iZcTIELaRlc+jP+z60IDh6C/YEVj639P+KS/6DUZYL/aVPibd2RMHIKG75tdW+VuOr
cv5OnPDHhZy0J92ksjm6MwSxAAjfSdpq5m/vX8XyI37td3geuhXXEYhYiLUwT9vXhGWbZa95cj/Y
XrPqNQ41SV3dFUWzc2Jqou+P9sfDfxvNB3ZHMqMgI/f3e+aOzqiciujvqYrYm9AeWCWFO27yqM6D
vx8KlYXre47pICc5aeTorahHPmZcWOxFD2NqQyVOe+NKVzjB3x/qtLO63EODajDbE99nxJPHZGSO
PuUWQ5Wy7C6zXGV7IdNpHY6IG5toLHY4Qae/nRsMCnXIsCyC7GhbngwKNd8wNcDk+wni9cqkBLMS
kuJFqPGP96/vtHu9XJ9p0rleVA7CPo22zSytnutaA7A0xVYIVl8jY6bx0kNmotKHCN/c1hNYJWDA
8VWXj+MH4y+z4nSOgmNcusjesjSdzJopsnEPZFG79woi1UTJBYpm+Pz+RS7z4XQQi3w/b5Fz6LQ8
f5+ao1EpgKqm3CvVGDt3iJHiRq4VXuemPu/nCX993+HeriT6/PeHPjd/LMAkKMxYs4xl8f91JfEd
0oihoso9GtuJ0ouDlzjVwPK6mr6w2yP28VMMCen9YQ39TXP0+0WjXre5WJOPgmGc6s3aXKvTqG8k
OS6l/F6h/CBOXSdZjSPtDDMxyz/h+2PjlHfszlu9246txSOg2LGbxn7YJbWUj2Y8WwbE5DYNpHLv
YIn3TsAxdLj0pUgoDEg9sNTYQ6kPw/sEhj3oxqJLH6aliu6mbnrRip7OWkWd0KsDUDvtJq+Mft/B
4seIEINvR5oSZJobX+U1rKqsAXMmEllRS+g4Cei5e6HjI6I1DG5hFTtTfAWBUrB1y/FN6PREYs3p
iYIGG77KRmDjmFq6yw7+82c4r3kQ17GJq7r5Lsg+QWZQWBtPIxC+dWfcfWZ7aWem+jyWk3034C7d
aZSrN5UlU044ePLzzrC3bcYa6o61cUUQfLFJLXskm2nsP1mu4oewF7x0Z8BrcPHMiVZHa1yFIa7D
irrgOoKEdhem/fDdV8V0189WR5knHJkGfcp4yfw6lCJ8jmtEXAExUfNndAmOFQyz8SrluMSct7b6
qTU2QRZjmqtHRLhejAJL2Xd9r/ODlhuMgOuqokKnVrRkaxzojgiKOlQAJSlxIvtHCR1i3wZd0hoZ
1VrlIjlOtes0sl9Viwx5mFT3I53Hz/ZsvvrgYL6MJgwDu9OSZ5WB9dAnej4rGfMilYP9uhyG/VU8
NPM+bVgxUvr6qL5D0gQ6nZ9XjPwesDGzY0Fy9GOyTP18bNyLwutiNuNDuLEcaew6tMhwD8z0EJVW
H/iyllv8E/oO88pMPViIaO2Dztt48Bs5g+deRAilbe5nQzCAOYt106RqRzhIticDu78nDa67V3j4
KTP5LRPDS5y7PELVredhdkTRQuatVnWbHtHIjedzO1eNZYRBQRsngCvqXqvBT9NDSoeWjC2cotC+
E2igneQgZHdhRF8+0e/TssvG1YK7uiFhLd3FUaTvDFuG3wAF4rsYTS28Ngef9lIW081eXA2w6Knx
35DUZQZTNIk1SB/7ONWyuWwgln4CkNYfhF+L21CztB2CfOvWNYrocrCdR4BmHI1wSSA7d3qdxiu1
x0MjibbtuhEIAwbo8JtCfLDy6wGWmAW5blfRCf5pp5n3k8q2WrdaO1xIsErfYuixm6hrbOJ2odBv
NJB8tIL85X6EQC8CYx5/5LRp03Xbj/kmjpApGK0x7cHrmZeQpe0HygZAKicPkgAuD2PnuaXcOViA
nj0z7DHdOPGdjqth30NjEIHdjZzo3aSnR0OD47uRQZxpiq64BlY/vEjC+K7KLvJvsOVYD5z/aSdj
X9I2BM84F4MZTbcW3MEt/hTvFkZ1+TLFznAnJ0IXxzRW12PbiEtj5CQNA8a5yGoKMEbjEBM5KXFf
YxgJFLqwPYdrr8fbQTzqqgHyQ2SUCfVbzoA4V7MeZu6KlHMnQPpTbftw0H/aiVDFKs6rmEiEPgVu
Kdq90bMIZYQL7pga6BaE72zrqW53qhqiImjrpA3YUGKB0O3mIh8E7pS4auKHmcNehKsk52c6YSyC
1HexRVH3PvLbRg8m4VHHKZuaC9qG4MycEI5dKko9Rd2f+gePw8IWk4BADBD5B6f1KY9QRgD1EGk7
GWcJFBthMSdoEFDh8nW10SeJO+OtoBSDvNyivtc2btiR+W7qub+Gns99GCs2OCYFktuSTcA3iBaK
ZazP7nI4HLs41ae1YhX4Cpt/3lS96+5JV+lfMbXPWxPB2cVbuWSoEgiYJCBQ1yJy/huGNLQGOcf2
n62POGZqSUxBL0ita6mumKVwwC9RFkEwRkbpjOGAAhhiZrD8atN7GSdR5vDM3VVeYAO+pSm7DEnb
n6IqBdh+DUOWY7uVLzX1TLVP7qjagGMvf9WWBEy/BUO+VfJgnZqfaAhx6rXj6rFPimL3Fn9JMS7c
JLOh861eMC4NHQx9XM75VfeC11cdPFd4GY6n1Am8MNOXz3vG4in7a59+E4WqGAyLNPzkCq5qf2Vo
irAAGuXjvqKtZ0IuNawDlhswIlSdi2PaGpQB3EqobmmPzXuSRvmF9ZFwNj+hSmjgznt+E2kk9lKU
fVNyO7VH/NqwxCrOdcewMDvC40jk4MqQ1LLeAglJ0EDNqY08es8CcVC5VEC73Ip/vBWDsqVQVUjh
XISAmKhPtCiYmwiaesN+c8dBVB4scMePg4+tsSQW9X6Jlds4SxyppygqRm+l4+Vj1/o0P7WUMuog
KPRaBlWTyqcTG1NOvrXIRnkxiobQmJoJLkLCZWdm9Br9JvwbWy9fU77hByQf7UObAQZkIkW3cGuj
G5V2PqEpdHCFjW48kXW586QlnhVnUbUCuB2SDFWyFX8r+kAPHm9JbyOdT9P7174Mtc/FEisxK5Ua
gaeJf55Tpsbw56Tzy462Ba7Tro1rSqHaQwQi5daylqZijjtMc8bkS9m1ALurnjwavXOerG6yn3qp
2U+pU0/XfKnENm5iLZiSRAsoK9I+IO/oao40+QnAf7kBKFhsoN+P1293XTmIcqrW827MTN/qZVnx
4WvTC0cin2gq2Adlhy2vYiJuR6fSL1zap5tywSAXk7I2dVMYVIp1YpZwNU7HjhLaTegZ0QG1Dx3X
t7k8ewYCP8322Fd49sXsJeO125bhhg5mtDYgYzUrSj7Zjd6kxYHkEPHshzgxVYiqduUlfAwJ2eLx
z3gVsraawStS+44G3yogRVDOc2ZjqUiidsomYljjZjqYdVjeuHKeg6RyuogSYj09knTkkII1Qx+b
IdtQb89AXUMIW3WZm95YWaxtO4u6t90VtA+Gebw13IGWgqzHm8Zt+XQTEAEKDG4vev65cLMAOEdI
wINBGgbfpv4AQJZAsdBu6X2rvDTW5GBWDx0i1G3HgsMeiF7wBV5+ddPQMaDjIXoMEdRuYaDXxwb5
2BalvzatmqzUHv6VuI3VkB2zDWAv72kA6FHLq6mcOsX+u8iyvb6h2VcvAaFGmT/qdFk2RU1R2vIT
49ubDsou0LbYw0Dyo+9ROx2Tylpp9iIXRDCySRCG0+BG6icz1z2KwZ4wck8SXplJldSaejRyBZbA
caV6RHwrQOnznS7ohGJSyykbh/zhwdaaSJG9EveXndIAa/FXb1PLwOxZzU24b43U3iW6NR+wnond
0CS75YpuXBiea+qe8TUAdYC1XVLck+cgN8hWys1cxxq+9gpDm+VM5tepnLyUb0NzDyYJnWyWaBc0
y287bPv4D2lBDqn26hGzvTXs8pnkY2OVE89yyWVkQa5XrJxO1Mqt58lhU1GB3YUhLWPyUtQFuj+J
MrTR3Q07xJgetQOrMJ5uTcqQwMNF8d0tte+U+29GeCdbcxww21lGc8AeSH7WnDwMVTyvpadFe1ar
HTeiX6NFL4MICQ8tcO9Zw5+IcRpVC3DmJgy8YeEyWvQadU8hr3EAo+ZuzfViP7XZVZmCXJYadUAd
XtVlHBFlHJUbkeSIuiuoxMBP0vhr1PXOPoMTQ8JUN/ab0Zur+xpLDIGWkd6gozPjizgV9W1ZZvWz
FmXliq968QURJ3343kUcaqCQC3Kvzg5dP81HM/EzEjrjbq/FmYMmIGrsW9uT820aCXlfwxbbIP5x
af2PC0p4xnE7uhJSpIxBuvpzuu2bjGqcnifHKDUmemuK6Ds5FxcGCD5aOrnjy2CoImugO9yNWXbR
lt/Y3htfSKH3rgy/U/pamk511zcp8Buz6obbcJ6qg5poMKUaeFvloYYyi4LYjwyvbUS/lacYYL/8
Zsd2M6x78IE3tqHSu9JR1bbDDfVFSPZXK9jI5vXk+eoLdAL3mOFMfgonVw9XDbDLR335QgqjqOl2
efF+LMvuIk48CO9Fq54w1Tt7KGLDMXei/mLQpuy7shfIa2zwcMmaCG97ty5+FC2gxl4Y9gt91Apb
d1i7RwN0y6VUnMAFViH6HH1pc9Zt4cdMmrI/WwAZNkh7DFpYfR9fV9r0mvWu92xWbomeZybYLsrn
LTrNdJ32AKXZ4810UcmTJiCJMLhATJKVLM3TPWFv+aoWrs7j5Wt7nDhVoCC3Zog6HvGI9RzgJH2A
2/88loqCFqv8ipqtF5Q+LevMqJ+klVrksNDSQTDiNrjY2RnvKl8UD1VWVJdqzs0D3HG2UsTRIo3C
oJvVXkfiWztoxZ7jktBeJ5UjFhvg5Rmd8B6V1iyph+gZOMUMK1NLws80QtQlH8X8lq1i+jIaVvU5
BUTxXHfEA+5qDQ/rKgmbJAMuQPrCKiPch8OUKu9syxjK9Vt7IpMCN2wnh/TYm91rNHi076nsXo6+
V15Y7Gy/l7UuIPKQ4ya07HquerAEraXlO4XacE1DuLok0BpwG65VdU0hMLpO2QytUjtP243nOQ1a
P4E0VUID5P3/AXUPeCLfNH/VuSY4vVDNR79qu9sMH1Vg4yt6HGVr8eGCfmSURXjX1lb1jTLYVztt
h68IIu/nDinn1qXlEmh0W3ZpM7Oy15pFgtqS5+W7EEmQhspPjp63xTok6kfEnb6d+548M2Y8XITK
3sWxcMnyE/RXMtkBFyp8zqapGX2j+0QUESvhyrG0CL3J6D5w1OF7gjj5a1i4elBH/pM92sOFXhvm
jp9i4pdp1L2d2D/c3JM3PUUtDG1hT84iujfu25Re+WSL7YgJ5I5B+ts1UboQzX1uihW6T24f2w9J
X4HM6BJeWOnHq6FkTzXFxDU6ZEcpgjxuOYM8siBnN2M9i2ODunSlBiU2dV6GL5WfzeucnhhlQiu9
FmOIhsfROMWYkt0tEJhmHfVD+akEjcEOV6PeXKiD8qbiLkw0ces2ehSIVJjXRtxbP40I9mOVQgWX
XRIdQ5CkN6Uzxpc5QQ/3do2qERHzDHX2S1rCxYizdlew3G762qrhhI36XRh2ApYmhoJKZdVuwrR+
r1hxV91Y1hvf7/WdzLuHqCNAYAS8cLSiatqpQX6N/dLdp1HMF4uNIMlkrgZp3u8v2cq5x4Gk6us2
ajL2v1X5s1NpnwS5qr9Z6P6/tJ4iW2wVITL/Vulpql8YdRdeeEOYBlRLBiZbaz50pjZOa41MV/86
yQkGXVdl04wrizQBZ9uUlJHXXixR1kwyfygLaNaFMxETkyxGHkpYDyigX8cRfbEOgAopiiWP+jx8
dx1ODU5uFms2VRySGsREs0HnnFgJY+HP7jU0aUfefwfopXgsENOt7RDwLbvCPKDc8b01E0Qc+kS+
Scr3dRqGfTeKF5cjyEhEniP1O/ZQgsoZZSKt84zvtp8PF3blWBvRED4MZUfeRKGx730t/BkLy7kF
32betaP/sxlt7THi1ftM8rqMA6etGlrjcgyD1jPclVY61U73xw7OSlMGUNp6ArWoALxfCD3XA7Fs
nQ80JW4c8LS+fq2/Wq0vKjeh/uo2xHIbRf8Z9Oa8jxY2ge9SyH9/uHNNEIzCeGsgTnt4jX8fLpKN
bqAHYrhWOQ+N2ew4AYyEUbn6B+2WP0w1S+UeqJRpsw2n46KfVpbn+Z+itpi74Xv7VqSfwu4HTFDC
ANrcwC+B3kV4s/4SE4a1VwP1uPcv91z13vI94QrbwoP6R/fAtRQ8Al2iy4/sOwf+x1UdUSd9f5Rz
N5VHuNSwdRqfp+5aG09KZxf0YN7aIT0hp6iLpxGqb1p/8PzOXZCNcADMOKU5TIq/P79s7EoQTeRN
DASHBGjnvgqv+vr+5Xw0xkl3h4gyU/C2yj0i6qtZyJ3tFR853paH/3vx36Trh+Ucs5XtuH9MDj/1
Bmkqua/5gF1FnW4eTQCL67kfkudYo9WCRElf0KJAaSzUfhj4Pmrt/PnqkXvlUEfl/fM5v5y0dmyn
Rj5Y+cCtDXC7CvDLGnRpQ2hgivKn9svgb+8r47kExLKY4sU+ffca9lbehOlnX5Qjq5SY7uAhuR+s
J3/ORYseOuw36jtLUvfJC+5Hhpolqbt7oLCwqmqCBvAUXLopBc33L+fMSFyE57jgPfA1uSfTxG8T
4n8mr9qztKFa0toL0hwfapk+vj/OmcdkuLapY5hb2sRLfPivK6Soi8zypVvt50TfyPxF8/I1MSaL
4Or4/kjmn81GaHS/DHXSt+WgKhbnBlah3qd6V9qkeA6uwh7r91iy+nL+PMFw3kHmC2XQ2JT4dNCa
X8g3QTU4E0KZ0gLamS1n6UJaVMEKG8GX46X1UVkjQvMhnq/CnM2g3ZQWYlFKxmyu1CY3VaqObp+P
10PVUcaa8O2uOWvDZyIO5oMLBZV6+vrRyqS4r/MCGHhXTtZmkNSa5Zcd97SN1ZNPNO210XufJiGS
l2LuwOfmJH7IHCUSXvetm00cnEZxEPiCEof2jNHUxLd0n4uQ3ZESJEJWxad68K7mkNNlUWXkPSES
XzUJdPtQppCCIkBTK9kDK9dSrVuPdmXvaXANgVJ49BgnDTjHu5eZjZYhzYCwkC4SB340rGc3GgOb
BcbnbpnQb0h11L+5i7Dr/RlwZq6xLhkoOPhm8d0/mWth0Te0YSfuSwqsvTd868BTH/dRKhHJj6E1
7N8f8M/Or2VhUbYdHDwQPE47v3gS+n6oi2rvL6k8FF2KTQMc5lJYtdqFXqQuY+ovDwDbon8Fffy3
SIgzry9tbV0IXK94TU9fX0mopxZ3osQ9OE3PvRiMrw1F3weM6unrX18kXV5WIw48/O+0h05zhE3n
1JX7opeURjF0SGo2oNGxmsiDaLPEW7d02YC3mlTu3h/8zHWyryL9AsIwN/nUeu5mEWyEqiz3bUh2
VDOUD9Hi9fbSSf71NsBeFikDAy88BucUH8JBsI0wjuZ7LEdP01QOgekRUCZzy/rracp2A8EUwihk
GH/4xWtgiV3UdznNxY6EeUH1xUpvhsERW06fP/72Btq6xYWZhg2BwTn9bEXEtZV23nBZTmHtsfOW
FY0ECrttvoSpvj/Yny8gg7G1YWvg0NU6/Xw1NIhj0RVcmWY/xJb2hD3tRzpaDwgCP9iDLO/y71sQ
hkKfI7g01vw3N/YvGqoCEvxUanRjsSVuLAomfuXkJAv3M6A83Dy5+dFu9PyIPltR0MVLHt/vXzLN
rl0PQ3K2b4z+mPn1SzUZD5bMGtS+ggyhzrx8/27+OfdtnY33grkGakHL5/cBHWgruG/dbK913XHK
+71tZ0Rx6B8M8+eGcRkGjYy1ACbMU2VV7+ljQjJ0ticNZTGEwyyrR76I71/Mn0sloxhE5rAykz9w
atLHITOSd2Fke2lxrOW4h6a0++mW4i5tFF01b15bU/XBKvknMxY95LJwoG93IDOcUsJJP8ABEKOq
8h187EPucxYv6wyZuU+rbi7pZLUTwOwVhrksXkMDral96+5OjU10yGkmbQkFeZgnp/mEEBe6QF2z
OVi2Bc1iQkAbIz77JpAHHIHOB7/92QezpAvREcAzdPpg6EvGOeVNEqgH+jLp5KdHbaTY8f6DOTvL
Fpa6D/AK+ePJlrOwGz4jUZXvS+VCSKv6vZ4ZD56rPtq1nHlhHV+wt2UdEpxhT2azm1tl3ZQsRGNt
0c0O48Mo9HH7/tWcW4Fgy6NHBAqP6mu5p78sCzPYojHqtAwFAY6W3uUzhQEQTX2bf0Ov//e7aM6M
yET5ZCyMpNMTKt53AcSRV3TKwh/LvZOJuCtk+PT+VZ17eRbusYskl4PB6TQeW6KBZiCO+zxxvNts
Mqizh84PKq7VVkaO933IIeygYmk/+FSdW/PeYP0o6M4ceqif6LFl99k+gkWqSg0HRbSt08c6ne9Z
rj8Y7dyE59hjMtk5Wf6hFgSGgI4M6/K+jupsVwjHvRtMXJnv38w/eC3wj3RuomvyObKQOZ+sq35n
jp1D3W3vdYP+SOZctSVzCFFKSjAgBXp3+JwaXrXuKtXfNFOZXTu5a+1iD2HXjImN7hIpHEaDxxx/
Bk3Zrks/Ot0aZ++8ywmbNxOW2enGR4at7gxFwddmtKkVqubFUD58ectrCaj3nshAqtcuITOXeWkl
j9nQt4fQr77GtHVnsbgvh8I+UEXyV2LSaii4XMf7N/LMu0Zjiy2o61qwBU4/iLnL75CMbLfJ0vxR
zwZJoTWKqjCniT29vD/WmdtBHDcvtrMoVtl1//5em9AndEj9bO1D44dOwSEoHP0F7Gi5d/1yyUkR
6oMdxpmXzjAo27Oj4Yv1xxa7l/k0yqji8lLnOU4iaBy07ilmSpituDM/N3JoAlqy/f7vrxXmm79U
pNggnq6UNgEHifTaas9Z7RqPn0Sem98hSybCLYseyWSO/n7fxoBLGQDGOnnRy634ZdXkXcEEajfV
XtOjZk1iNq3J0lJ3A9CDfSE4SL9/hWe+OYzHHsriw8Zm8eQNJEzajpOKWzv2ERJuWw6B3lRNYCGL
+0+G8nG/e4INI7iu3y+tdu1EFSVHNMOvylsYy7g1XSUuks4wPli+zs1Rixdq8SEskueTOdqjiyln
KgP7tugeoHq8Ok7zQASDXCVRc+dhav/rwxELGKYLExAZOvLTF9AYKbib7VzuZ3NG6OMOn2Qng5o6
wAcDnVmY0RbrDnwjtiGmvzzPX+ZHPePW04lP3+eR8xSN486bm4cPpoTFzzjZ0P82xsmc8DVC92yb
MVD1GisIrvURRI3zyewEEJl8aLmLOtaoQdbQxtLoczVI6LYODZsOhCvFvw5JVJnQ7rEJI9IswwDY
gBs6sZQ8EqQV35k+uX3lhEMrrPVyV7QoNDjdTsSJR+EhdjzU2vqIWdFYaEZAbY1Ps1+guCgNeBpV
0cqd3pPF8gYcuwHcyu6wWszhYMBv4tGNd2S5TIccw+h1b8XFVa/Jfu9l/kNSZe2aO5xtC2pFchWj
FtqjUCL7ZJjrTdjFDorBbLisbCuBcpR22/dv77m5aRuuazBPrIVS+vsTBH3SqEkwN9EKvjSjevHi
+sa2tC3R4JhqgZO/P965N5w9N5s9yvco40/Gc+KpbKxoKveqiZea0/VgZodBlR9sXv8s+S3EUxT+
1DIp0/knwwAciS05+qTq6dldXScS4ZD3vck+04m6oiu97hzzayTLD45Mp5mcNlsIxqVKyx3lcH26
IfNrMFj14FATqab5OSZajwxgW7tD7a7nGxrnnHGaJaRaZX0T5CVKIaAWLOSN2R8cpL5OOmgHS++0
raHsch2iDmPC1TuMH7Sx/PSbY8AfH0b0QCBposBXhqD24s5BZIT3ZoaP35sdcvVUame4CrHnpfw+
oB/qV4Tfxi0hnXCsRyx4OLr49wUR9eQppBsXdsFjY8El//snLgDQQrmlzGAtAVG/rhGJ3jpFmRFw
CEBsoru0mgZ9lxmq/2BmnVuLfhnndGPU1z3ZlWCv9p6zkJOpN6xJ7ti8fzHntjYCWh99BfptUEl/
vxi9IR64Adu0p+nkrafFsqibT1UGcD9upw9MZ2cHo17JmcXH3XZ6iBCSxYhwD1AfsSArBHACtJ8t
MjAElSr54PadWwgEZX++Flj2/tj85tNkiRQpxV6m8g4gmlhDSnkifPlVJZi3YvHBnTTOrQQupyQO
sHip3NM+zdzWOfeXfVo65tBEZtM4erMcDia1+KCytHhv1w2O79q3PiV6GO+nCGVzVCXk+UVetvUr
e/rs4gtAox1GIKvef9Jnfz0WRMpI1G/904VxGMNWy2K2OUNTv1p+9Bib/X1u0Uz+D8ZxPU6KHH8X
38zvM6rttSmuEeXsOYnWVHPUSzlpQ1B18oMP6blt64K2pcSy/MM9eQ+twUfGjQBrrxCOxy06t6G8
k5UDDt64IfLsocj9DwoV5ybwL0OebljT2c4R6ujFnligHTENr76do3AVR1n1H5w5rHPzdwFxU4sG
t00t6ff7qAbPrufRLVhmzOmriuufMAGJUc0Nb035NlovfADyI/SS8PFFcKwZizxLovwBbfRESFf8
FDZQrToT2TLWFswGsZL3RPWC/y1zks/D1tuO7uA9eg6rJkCrFtWE1o4k3Cylzcr8qQ8mmnZ4CGOt
f02r7hpPYr0B9P+aeP2wKiYr2XTFZN7XKC/52JvOB7Pp3F3wF6cuJQ7m7WkDNs/rloDdmp1fPR9m
NRsrpdtPmMcvqJmSpDwNHwx47hEv9gwcgy7F1tPbXqdGNDVshvZJA3OgrztJlP1CJ7Ai4DqrdhGm
vv/CnLlEvuuL2xgOOzv3kzOJLyYP5IiV76E02ptYTuKqjNmhTWnVPqVwmgmcir+9P+abXuNkE4r2
xuSm8opytD2ZXRH5MnRm82Ivitlfx0Mn7u3Y6NelNTkXcZXnjzDYYB/YSLbedMpeDP6h6GaAWGiJ
dtoAzu+DW2/82e4Dac7uhsMPZ6Y/zr7R6Mx12PNGt3OIns2K7C2qNGvbhrLdwVy2VswU5FMOGERC
kdYTPRnk1/ZHKGLrzFq5+MKRY8DMptFm/v7u6UgjRKGSAt9yCkblTdycWKAvEFiWzgWPyz2oFEki
PgsoZTlFZEMr6KPCE+lvB2vQt9MUgpt448urWX9mW1zu4oEphW2CCOTRd3bocl8nFJks2f3GFmm8
QTBoB1Ir1T4WjbsZ484NvOiCSCDrPrPK8YbXFifKxIvwFHudf8x194sOFOyDg/m566cDhgfdXTr0
p4Ujym1p3iqL68+z8R5MKYI0MSZPiaHF2/dn4rmhUF+iNcCNzmfjZANC0wke+fJZAkIaB3XjLZae
sc6OfpxHT++P9fbcTmf9Uv21OL3yGTw9/peayLuhSDgc9MB4ViRPTTg+ZtvYhXXVw1jNjQuj0sNb
NZrDtWlq0Z2pNLglVl7v6hKcy9sv9Ff4hqvku6za6qf6X8t/9r2qJ0lKhnrDB/y/Pz1UiE+Ld//K
7rVa2Aft6V/67ceCIfjnt1uQCb/9YfOGT7jrXuX06f+wdx7NcSNpt/5F6IA3m7soX8UiKVIU3QZB
GcInEj4Tv/57wO7+rkROtGZmdyPuZmY0FFUFk+59z3nOjw4N/98Eg+Vv/rs//AvC8Bt8g00Ji2nw
f1EC/wLfAL7rRXz/meDw1y/9RXAIvCWLYmkMmxwnKQ4wkf9NcIj+YPeB7ojW3FLn55X7O6Ui+oMO
L2925C5b958JDk7wB3sJjlcUW92A1dD5TwgO71cRci58yuSEXpjIaD6Y+IWJK7dKC8AHieXNEMxd
caafq79UZC6hdvZ+h0FYhsnPbzYfGMBiZsXim3+sKIN9TAlJ8/VBKba7pjFi8PGnbP/TQ/j057/3
cxLEsqV69ymochcTv8fU+GFx7OnUjY2XqoPusTxMtmpuirolCiJw5dY0pnJldZS43CY3brspUF/+
+ePJgPjwBShT2liRyG/kGb8/BoOMhnajg/5ABE6p4J+m864MUvyQCCXIxk7bEznlrBaIoaGYSiCZ
C4QyY6fU0WX9DMfTSlY1tD0OzSTUEnyFLyGcp2Kn7YK/iwWkqtZOaczjSkkcgtgJOxg36G71K5WF
4tbJQ0CueBIOqYsRMg78BuKm1zxiKdT7hf6crWRiaSoeDXPbioLrfDAbZd2hyZNXLQTDO/zO2Koc
DOOT38mXsKoyE7H3qF/TjisaRTnelwOZc12uxDm28C1jzyH9d6ptcU5jk/J3puUTYSP84qSy6NyB
69myI49voxEo8WbspFkfuVWiItrK5HdjJl9nT7o2l2kGHQZ2PCp3utbAcVSdXnvIsynLRIjMsJIg
sg+y9qYuRyehvYRSO+/JCO98lEGzozIKEdW0IZejPRWD3dyA24pPSHLU3m+s8tggM9paTj/e53D0
7pt89j/zdOwtihgQ1ja83sFXzTddkySSBOw8sknoLzj46yeS/XgyDfPtwV889sEEl8jpRXT2SUE8
kJ+uXydMMl/Mll/RZts9+Ki0z7FK3CPGHetugDH6kPeTOKu6js5VxQ5rQ5qum6/cCgn/yh9mExZD
KbedjMv1JEZ7CxG1uJV+iuQdyjVe6Lr95sb8MSkQCJLzTu3xADsUxbk7NN9Ux3AOjV7v/Wwoj3XI
w9WBJK1yyAG8dQ6ki63pkysicaZRuYD/G8Ae3RtWXNwmSPhgrabNFaEZHkjjZPxRmIQpCdx21M5M
k0nDqp8z1Yz3tDvmy6gZ+aecVO9lxdplKa44mgx5FRfLYDca79pIzBFJJ9fiu3m06qO0Wo94CqrV
mIrxB+EGek+csHuduDyJGPEY+ZZSbyrofxV8ooH7WkAPC8rIWxMnlcPaVRDA8FfE8a1vxs03ms/z
pZhS/cVmId0DxsWJ1DbFDpRq/93MfeuOULxpQ1IOqDmDe9slPEeylbnVyytaCpB0uuXqZ8wOCWxH
noTrIyQnPl2/ElEln8okiE9lVzxNRjfAgW+r6yR8hZtojqvMqPyUA3JlEzLsPeM4bh5tlOv3ic27
ie+iyPY21qiN65bPbhyMoF8DSZSCx0u5EK1UyoPCVdnv4saV1xK+83XUT971oGPrTmSdfBo8v37G
ucLbGuCRbe24fnaQk1/kmLI/q3DhNxs52KxQTPVLAlkKmZ+jDWTZUbF5u7gwZRB0dWfcKi1Fv1FZ
Pl9Spe0eJMfwW133FkhrjhQgey2spmVerf3JzA59bQeYEWOV7bFKku1Q+iaPqSqGYGGQN49WhtsP
23CAeNx2mqvex91pP1B8tQr/aazF1H/L2sF9yrBlFMlhdGbhIrOcDbFFaDcNl7qZYu80Jc7g3mLM
xKLnKv3Fwhm8rv0hFSvLU8gGm9nf8R56EC8pygOPVj1T0yCuhhrMM/ag6OQaxafe7Iyb2ixvDW+4
citZ7TCQeDczzLuVF4Dubb0EBHB8Be8Sajg1vkNiz+mxsosvHY3LLVltw3Zw9dcsBCjvjsP3IrWr
oyGSbyRMpMd0ph8krEGeaxLitqU3Ksi4Sf/dwnS2TbLuAudSvENtbGHZLaKNpVvgCIGXIGJIsit3
hp8OEnfU6xYvoZ+HJ6OQzSYrGzGvZBQ3R3Q3qJQNBc7UBBJTZQU1yaosXxM5gx6nhgh6uXP1mjjq
Wy2CbGtXRnSRY+G/pEQ/YVthwOL7tC4yjU59iMKEvBQepG2N5tGEwHyoAtyFsnfCbT0Z9hp6LMNS
LJwDE6GibVTmxeRl0WFIrM9OFUc7iivd2RKRU25t7v23Tk6Tv/Y4lqJcJEk15uDRjwf8fARpWBO8
/RicZgdoVdjmgIYzsqiSRmRse7HfbHTcfXPqadgnXsKaxwIe7rCTjauUMPRtLvzmlvasha+t6Hao
tlKi4goDbFyonkMSWVaTU6gLoRZ/QVkUT1gV6mDtK1/vYb2DCaWjHW7Iy0BdMroOO0SHXpBF9q47
eE5wpM5omxvNJIIjupB2t5KMq0u37OQFWHzM77ZpH9FMdBsnTRlV3RYuXrMSFFxWwIC9k/Rb9WWe
nHzdLgZmmlCHqdw4o1HD8fXnF1maHtW2ar6Tuazx5HbRQc1edKyGWJMI6cybMR6aU1FJd+3bJZYP
vxhX5URWYuc67k3QUWKu40V1kLTYIU0Z7hpjpMeyJA5MnkPMceTkj4Gf4JU19UTercaaFY3Gjpja
GqFsdVNaBms5hJhjljnKWaGc3CRGEt2D2rD2ZcYb7zt1egxHRZTfFLuXNZU/2NeTcUtWRHhlNbM+
LRlfJSEHEbCDxm+rH25CfnE8B+dIoXtfu9MEsbdEN4ZIJy0uZTdbR0m3pVlnqd9elHPsPA15oN1V
4E3Ic20y0i9SDZR9nVu5+UNiJypJbRa+2pi5OR7nponWsjLa/WCV3tNUDhl5B0WWn90+6b5VTu6T
INC5Ix04SxBQ+YQhyAQdVXT46GqBCsVQotgFqTd+rXOrXvfltOwLZHOD76bcINYX9RaTfnZBNC+6
XeyJecDrV6VH9PPtOWq62kVhS+GQtFcvw6VItvQ6x/p8re04O8ypkF9tCdoQRLwulmcDt2/ZIuW5
wzq0hEzkXifOkU0WQihk/z2EAS/plSypumbRseCg/tWvnKOhRWojvpV0HRgDpGecg9iUJGV6Cy0w
zSoY29K7nvGg3xq1lFxu5qS7gTxEfIZ0gtYVm7yUuGwlvyo50N1KEVvg/GV1RhbdnP7cfDWZbd3h
GO2+Syg+4cb2Uq7PqpZqktLa3rIN9T8rMhw7/LdNg7t9dItNntrlkcK9OJfYvw+u2RElUk9Mxm2e
5KtKQr3epF7H4h5VtXErkmi4z2wnuU4qdhrC8+VVMr99i6h5dIyFbRA3zTIpk0vx2gMQIhMhYHsS
NY31iWlQfHekzynYII6IVZuIFj9hIlpVLV9nMZ7vU8sY7tMMJuXKaoxQgEhu9T6pfH1hjsSApAMx
3cliCqvZbD2hM63WnV62v7iHnoJelTAJuAQKOwivKqVfMRpkezXHNakmWQSvdgJrob3YJOtAOiX0
rKj5jdqBwtqHQwSmhnDRG4KYWJp2/PynJq83GEgpNeYUhfNuTfSqzLdNFeldTerDRmYoYqPUCV4J
LxoPEEuSnWHZL4jjHwAjODT5WKYMb0o2A4roy7G13adR4mrOZqe4MM3KebbR2CksPFKMFxiIQ8i1
VrEhCxPABtzXfcUjPCQRpBvTSnHsqYp9QllFZxZuqL/K0RfoBiYSBdHN1suTtSEH3Y5J6382AE2S
UZOYEM2E6xLq3fFugyRjvzHVpNgNvDiASdkrcUhhP5gU/KWZKEWxaoGBYDBc9khKzM0NCavLs8Tj
uHGBozxGYG1XrplRDAShu7VVLK8KpA3nfIBGPJJagycxHe8TMrFQt3t2+dw6RO6c+nIOxnMTTwk3
KSNPwVBdr7ZeUqTmepBOXGKedfIBvzhUJaNzN1yQsO/rGFpO1zj4tAN/LpMjebTZJp6X/yNmIxVv
TFxu/jrOENqN6JFC+4LOUod101GSWZC9VGumuQD1n3LFiYiIf+blB0Cj2EIFCvaIodlccYwxcZOx
AexCt3sw8X2vMfh6684jM2VdRZBpFY5jXISu/Krzodi1WZ/th5FVzSym+QCLiY1cKvzhvs/K56Bl
304ejHwKp9LJNq1eYiqWexctPtLTPHPzGezGLaZa52gxYG8KZ8z2MTo6sSZaujz2hBS8KEJbXlxt
sSbbpW2vhOJ5On3YfuIEEJ51Y+Kcnzhs+aXoHgShMg8kuzpHU/X1c7/sqUUaleuUeIpp7c6lAs5d
TsPOmpPqCAaD3aIInBVrVnBTOe1wb1okAYGyrV+8rgUT7LKzlRanlk0rZkZeX1vdg51zkG+aUl5B
ucYHG7uqfuljQSE87NmRxq6Lm7H2ZsZIRzKAhQOdH/bm3HyrheKuVDPZO+zKV17mzgf6l82pkQ3V
EILcoTlFy9SVVtB0PB1w8K7s5hEJani2Jo63kJqic2LJ9pTpQJz9hBtHr0fvhWl76zoU4z0tKI5V
k8724XLypkMkr6qCc3mQcTyhGTS/hozSeZuFs3wq/OrTqAL5FWw3xxzTSwj2dGEJTCmdQZd/VBjL
hmX51spdIlBChDvtuqbfctbORGDjMlQVJ1kWkmLaAP2Xz16j4L21VY6Xml7JdhgzTqTLoSFTJgen
VLnNjSlankydswS8zYFSJAJEYGLriwI1D9kJ7cR52sEfTEGLqysDfTEnkHbVSFXj7TUE08gEngjQ
T2ow9KWbcNJ0Ot3cvJ20hcPrgweoXPsgPIjV4fQBtSM7lC4LWUl/6TzEPo3x5VhGcjW3ATlssKbQ
w61fCihzBsKokBzEpzR9bUMiYmaGm1grnbAITAs7LUyoGphSFbeNRHoC07uIFtaVh4IQVk0zgPcA
LMIjTibS7hVIpxX9UpvD88wQpJlN6SMmnosjtUlWzwA/n7RjjpEUTKatANa1BgUJ/6uAX8RCY7YU
HGhmUWunEgM9pXmcHZcChddPzTdYlSRamb3+IuAOrGK7LY/GcqjFScS0xkkKoPhyQl7I8quwg6W1
FnPGv1TZHLKbmSnOsfj4t3NzAC7oUhXUzESduuQBGT9Mc162KYHB4ysrFqmmQ9jy56tJEsVOuhzJ
RW3Ft6ZVirOs7WKDNSA8h33XPNYWtQuo8dQykE2K84SU/3p02eECZe6Z3A27+45XqH5WSRtuWrOJ
zlPAPFtPKbcw9Uj2M4G44akuBgufUsUR2mdb1IOmPi/vc9Mu0zCGkY64uZJKUJQF7DWKll+P+kZf
ZMgY7tKl2jg1+bIKsDF+tkJeCXceuu9DA786teLkOiC3bWe1y/sDOQIUBPWf0udy4qXq8LatCCMq
U6A2ittqGjm9k+az8ZHh3L2tDVZP6W0Ik/Q6YMrnvE/xajQ89zpIDI+lYorCcxNxhxtd2HdTC6Y5
qoBM+aT0HV2OIevUz6076QOHyQYeZERh7qhLU5yB/ImzZ7N5qJZnkLJfeuoQm8ldO9dsiiaL2Yy4
lXs9sT2RBXURsy7tOxLwmGyZxx5BA8knrAvQzWnsrN9KMWNPsSiEr3NKRDoB+aaQ0TGbyDXby2K3
5AXumlrBle3ZZFYMbEz9DtWnumRQaHOsn0vboDA4UatzspgtWs+GxYG6ubEp6m1Z7Hl53qZZFXA3
OLETj1a7yQOnKU3kjl0t+ziS4k6qddSnlsPyFxmwWzLmiaPi2I3cTJPpLR0ZRwVJLg+mP0r21g7v
mmHGt2qiTmGXqsqOwvWa0yRLijfLVIlRxt62hVNcg1GEvOhnHtUG4GpOE7E+pBxVGZMtVUHE8Es4
jIXDowmGH8ES+dXz1QmmKhi4WcTmD+i6/Aqrhy1H083lMRcMskxm6TWEtedx9Lhr5EI6RztMGSpj
wT3oS5Nd6Dg1j+xKcnc1KBjpK1ANEfuWwcuuwLEzyU5kMdzXdeysIz3qzTjwwHWIb6GwKWW+/fFt
YOoqZ4kxiEr65k2sqZJF5SjmXn0CC6h3VZpnpELUDOjMbU5J4DHJ0ONJrjGz0NqevWy+lP7MTngK
NITO4nVw59onoIKDw1uBLiCBxwUxeDstuwCtGrbCZHsNew5wXPFEzmGOsT90n4jbSCEmUAHvOchu
Bw9K+aogyuTUx/3v9GXWe5nDoqPAQoUJDgskYOil1fDTbnWonbqCRN4f3Izi8BqXuncd+L29TXoY
ZdplaksjNt99YqpPQYIzL+88gDRsDpJYcHYRTnPqnFFfiEk2j8PgutfQA9UXpoT5N828D23l5csu
dn1koQj4PxB3afAVwWg43cHIlqCyjpwFLTmLmVaeXhsDBxOqFWxErZFDEVA5tlaUMpasrPoll5RW
3x72P3cN3lr2v3YtHKRzLhIg5EBEZ7/b7yfgJewoS7pDVTnkBSFrXdgJQ3OeJ2Pct+2Qbji9z1tN
L5KNzkCRLZc83SBdTnKYAm7ziZcK1y2zQezV32VWBjehnwDF6AF2xkZbN6um934r4P94UrHAfy9P
P0BC/MGy0toEDSWJ0R8Sw25OMWqTpXLP7rHJmxaC4NKJcJpwMzInPneaVURMgnPh0Ht/9V7+agZ+
+vN+/Qkp/9+u47s//p9/own573Uz/59qVQIk++mF+xetyq57+ZYO5P303a/9yrff/Js4H/2BvIN8
aBxaDlrKn4nzzh8eQAYE/yFtNYIreQ3+Rs7bb11JEASw5RFjLojuv5Hz1h+2s+joeDN8VkMaoH83
bH95msmP+q8//9zZ+9iGX/ygGDAs9id8u3eKh8jRkIOkIQ9hVr6mHDn3oHfiVRaiRP7p7vybn2Tj
YcDuQcPrg0C3FPjVl2PTIbQhzIG6epaiVqspToffiLn/1TXxGRhLkPsDEll+/tPMmfRGPLeSYMV+
KgaSLMzrbqxypKnz/X98SYxOqBqLVsLks379oBHZQFS3MwmOrCtFWbzGRvaa89//zcd4KHLRAH9s
fmJfxwbvKcmEM0XbKKS5SG5RuS5U9l/cOt5VBBIYhGmhv/ctJNKsXOhvkniAqj0rojUh2dqcRUT+
m4vyuTc/T85hiHCa/gHyU4ekg/cC1GAkDbWPJnlIJyJu/EHf6kTdAw68lyPhK/98B9+vpW8f5uDK
w0nO6vTe+kxCVs3YrOWBUiNFPrY0h5xQpVVtZC9mSLUqg2y6sjRc33/+4H/xKmLLWFgob2qr98PL
b2uqMlQvD6wr9ecB+tDKi2CBgvBwfjO+3isB3q6R9Y5ZAbkco/rXl3Ee8kHjz5eYaYGWE2ipt7lt
xp//iwv66VOWleunsbUoLEaDpt7BiBSM2lbdj9UkTqL9727dT5/0bmaaiiqtaYjzgpSD3vgqf5lJ
vl3/fnh9JAGxeyEfzEK74Xs0Kj7sE+h4umz+Dz2uC1hcXb0iLY4sZsd9bAjcwr0uaX5Qmd15JAqt
ASD8xjrKtP9hOOAHDENeziByITssP//pvtZx5YVVLSsUSna9keZokJgs2ebObqW3EZ3/jRW11g4a
s3cwW1Vv8tKJ2Na74oQ0A0PMxFEcujdUlZZe4Le3SnaQx85xCQLZDUHxqqH2HJPZGi9lQCAqGZ2d
v7Ij9jC15K/oNK62VLxsOvRgAQPVVDe6jeyHIrDroxfn8fNYsVefKuUd4gCqeK3JB5pyhlQRKADj
nR7osbOpY2fScMzqe2y9Q1GKLcI58RmipnsC+zd9a2IWGqv3+e6wCW907tYXBLGO+ToNwrTearc0
v+bwTDEr8n0MJF0vVcxFF4Ry7uookdf0EutNDycDaawTx/nKGspIUUnvCSiEeLprTBpyeUNR3yC4
fF2ZXN1cMXcSwNuv0UfYaDiY39IkA0UJfw7UqbJ2CG5roi8xmZzcihMVZrj6wjIJQgwr9oZhRFR3
UKKVT9LRu1CJlT8nYV3e+xPF1aZz5FPjV/ZDzLXLVTBRJpSVO8x8pzHGQx/IqF87jma6Ub5Laceg
rHHfTQCfOX9WN4Q/9c8xtwbQZSOv/SF/NS2e6QDw7aEKs1fVTfHn3p/r47TMzmnX1Re6XNocLScv
Xt8oKlOY3r66hanjHllU+jXqlGw/JqWzYieSLZDuQZCUBHpo5Q60ShNHRkTFJeLVJ0zgijxibuJQ
YrewjYmGwdvIKzsQ6zC9wzNpyGJbZNwEfD3w4V3SDatGJnfhDP+QaIiseI6gsRKNOBHG6qU5KgO4
qzMo3tYv9xmNSnlpUWKNNn4aj49pLI1oS8+0CyG1kEG98imencnwmB9CSGd3NJiqVzsgSJpr1IjW
mLyRYTUHlyi6+5rBfecQB5Ovga4Rk9ei0ClwhKYjrExFfb3Fko3rxOYR9LEqSDK2ZVKvQIga+B39
6L5rWoadS5DaenRZZWcwsxz85QIkBI2X3uMNTsb9EIr8JUIcvYsE4wgWD7KiLBpLQrRixREyGh/n
di72wJt6zFNGa2e7XDrevJ3RDzWrtkumYUU2oPUVK3733Z4ZW65B73FTTl73ZQx6+ZTkBJEFumQa
pybsoUM1nBN6uIw+5ETYsFXwJLw0KZ6bxBYnFQNTpX1mr0mHfOUsHiEdIq6dL0J8ISTLjaE7juYp
CoorYNP0qZNyIY/yhAaH1RfOFHXkkGMEoT3x53xswZGmUqU/hIy8gyh8Sst+SuCiaw2PstPjHlcV
DN9o4EWYp1DA+svIPMT30xjgTjur3EMS/tEPbbBJO/WZtGsUDuPXIdXZqRI+FdOYsExW4+AmHRiU
9LvVlmraeDn2bbRNCsY5dth4ZcugeAjJj7sAdrcjObikgKFkv66moitg5+bZyulLXmpmRfUpLdG1
iCGPrh32tXQKGfXFUFJhGGVMy4SEiblldiMUdNxby9IvXa7brvKXrDPC6xAv7Eup4FQ7Y28he58o
rLmxc1IDbxS8o/h5iFBvmKWuNyNmvK3XzQyjitRL/OMDJDmjJe0RIKmxTom1uLH8tqG3Ur54HhNl
2zJ/QOQObuYMYLndtnoTBwSuQ7IcwhuAwy2FcMJUCKvhNSQ5tyE9uRo2uc6ZxOyh3vgTH91Soz5k
MBRRGljTtxS3kxSlAHvaAWoFz7Jts/LakcBi08kJeQiVvO6aZWtf2/VFaUleJoowA1lzlosFi7uT
xRFlNZ+a49usi07uqS9C64c5MVuNyzvimbN1VcR9dpV7KtmNGrsQhOklCNPoPVIwvF1HOXUNItNe
e87MjNjXaj3Ofv0FRVN0PQex2CgzaNcsuBNQjJ6ZuzTbFryEL+5GmcRktQlxiuehuukG5h4jYfaY
IgZ9MVbc86gedk6OMywRY3blxLb5NbKG/oKqI1viergOi648dL457vMUf0QVJcZl32bXTuaMj0ae
d9dapf1lnM8PoJwnFDQo4UINfcedLe8wR9lMZ6Wpron1iT+VxVPQgAamB/xaJws6r8++MJ7v29Ek
GBdgCoEOFWnIpoPfUCPDYFlM9kzuXw2vJtU+YNFbFP5HI0vLe6C84tQKZhyzCtFMmRa5jzOPVP45
yUJnx3fAM9hx/COA2CfjhHVbrMHqqeGA0cJt9/R9VjZdiWnVd1FOBHBZMpnlnDMbXpE8qtYIBIuj
mBqTSFz0fBg4iebZ6LGZ21UpnayiF9v0JgqRqVlY+PaXrrKr09Q41akOelPSakEx4ZTdsBksjB4l
FWEFvOBCTzZ5liw+Zcv8VwVTfNvQ2MHfXORgrt1srNLTlEcOqG3CGcbwhLKnFqvYH5zAWXMcQFW/
miGmvXY6Twk3GIvqh/TQ+lhZEhwV7Rz0jjpql6KlZ1J7V8zrOlw020Qm9P0n4QcQknMXIDlNvSTH
mZC2LhWRwRppPFvdc1iYRb8u/aA/ylnyJC2fmiv7e/QWMtDjSZR5sSHk86sbDgTS52gYtENjw0Pn
bvuMLyaO8cbzcuPScoSBHi6ooEK6tt4zTm2HngQpNVZa9ge7gb6hmvilSL2CcCC7IAaCxirZAQSC
9ra6GlijaZMlRP0I1x6MdVQ68xXDNfmWlAGik8LqDLoxipCEqTJPbodMbRsG1WuQVMxxrs8U7ibs
UDi0udNqAiPqbSQXfShoENK61N74G8XvRyvEsikmJMzDAQrU5v1JUML6Ii1rKA5pVbmnYeyq19qB
h7ua+qkjQzpx2V6VpHQi28+t/mr02V1YBaZbabG1Qrv3wuIlTqFNnUrbHHe6TKJJLfXgXbhwuc+i
zVvaGV1E1HpDs6SnxnZIFgqWQ05MvXWDKv4MG9F9cXz8FKuI/9iHhhXcINhjyo21wrmcZfnz2zwo
BBFS62ku7N/6U5ajxi9nVVTWiMRNM/IoccKZ+nVz3s2EywydWR4oWjP/2tN4Cb2QcNuwZd9Ekkx2
pfH5oUKc2WcVEdFLTIDeRe9UCIas6HdnZyTzH78PRRtggKCoPgCNgoQAFxAg5aGtrPvBpL1QsMZM
QfYiyuE21iz7/3zq+3A64WWAEMEnWZxPsG28uwHu6FUJXQaim9mUCrJOWLDZngiR1heGC8v8nz/v
o6dy+cDAWwxZsDA+ECJEy4bP9QtYOiERMytmzXqTdWIkAIsXqweLuS063jXfC6dPb8vwRMqDv0/t
ydohwTTW5HN5L0D7x70iI+U/PWtDjsWah+iVEcJ9eXc/MJpPPs637BBx5t57RlJfSHf63Rj8ULXg
UyhWQIcD+ogP+92ZcMiGMfZFnR18l92rD/UHtJPfrxvKw0DdCxIQdM7unW7s+PjPD8BeqgW/vvLs
ESifL6Fr1kd6prYKd2zLCe9qNyUx7WR0UkYcR8/VwN6UtHJPX0eGF90LV98XkW5eDelN216PpF31
tUizZcJr+1VDirpDz0Kyn3OL9sAGGGECsrHvTbzEbhsx2I8/qy7/v2b9O3uNZS1ton+w12Tf4Li8
iF/K1X/+0l/l6tD+A4MHgxz7DM46uDz/a6+JzD9c/AIRLEgPq57r4xL5u1wd/gHnBIOGj7DKpJjM
t/i/5WrSmqCvLeVLBg1I4P+gXP2eGkR1i1RHF/0bRi4X3sm7MdEoA9Fv2VkXgiZ836zHpMrUofU4
qSMEEtjL61TD8s8Ly5jYc8J6Q3iVSgQFkfReiMwStoUaFRISMWu5P4NZBB/o5heJ3RgEfsWCsdWI
Di/JT3f6059j5+dK+/LNfhpRNhMytejFy8rE4TFt/DqHht0wldiW2wsESerWSoWx9tgnnfUYmDRF
NUfTf/5AVoIPHwnxcVkkqO37PM139WkjKwkeGurkwvejMxHZJJqUI0v9Hg5J0mCEaIzmYLUmGkdA
OI1aD+4YuIfIZ+LZeQkZEMc4wEOzmkc4lSsS9ihk2D1RRKHI0KHXguBz8FnWXWlb/bx3Y1FfgE6H
n0lRhSXbKuLWXzVtU81rDzY0/fVJcK8Nf1S35czOwLZm76UXsu5WeRPyURH1gGTbBvGy6/cI8lwR
z0RZwOeJsLvtu2HY4WjXl9rHxdJiNWko1DHXtw5rr4YtBLyzJ4WoDSkkrIMk08kW4dGUbKmqqE9m
6paI3NPEvrOQ1syrLOi4NhIQmicjJf8s8Se+hrKzUBGtZ8sne5xA9vu13aTXKq34RpH2nCOrbKq+
tNiiAFo0Bn1NO0+tDtMmXYkrUCeBsfMD7ctHGyFDeurbjvcvIeieehb0+du5FYgVnNJWDzK0lPHs
2D13LutA2iJ8rlV9bCUWofUIMHkmJQE1Ipv3kZ/KgXTILXlhbKjU3CCAMyDop4twjJJeTUoS+lR0
29lCIvZecqbw+0Fz6BiHll9Hj8OJpoHkBlyCf9rsGm5Spl2egu/S7npMccbIgzsTL7/lPjrD2suW
dO/MKCkkKI/252c91zzWcYFJX2AuL9PTvDySYLk5EdkWPD+iIS6ixqC4kZW9EawJeJgu04SYHiM0
EZpToVKHRRUaIjnLLCh2rWYQllga2OEDbQo29WiXW/wcyab0GmvRMyt9Rxu8v2L14XBU5YQV0ecf
MGTkvXepdeLfG2NgXU2jLD+RQJW82FQnDhSP3XCd2SJ4EUkxPkjHzBViOV7ZdKKFPk5jH67TfNlQ
VyQc6pOtfA8tYx1E9wZ8mf7GzmbD33hjwGsztgG3d8oqv702e+XhVvYSQ+CuHxrHIsHGDdPZ4dju
GvY3SqY8u8xhk/Cqcz3IJ/5nlb+CL1G3WWVSY/Bx+K7rhHekQzsyrDm6Wnd403g8ZWE0/sqIJ54t
gsSSOiZplU/cGQYXGfYMykLWU7zrTEN2j13sqduQKb7dGnPADc5suAz7Ag3GhYcDQ65i1XHgHnOK
hnlsq080MJrDQMSMOjuEMSbkqA18ClWqfIbD11Gbw17IfSG+Gk3YQL7WBQnvdntXzLNh3JP3OTfn
3m6N9pNWaNt3Jfvh6ctccY77krlmVdzGY47wFpl5QzXScY7zuOzpZ11xLznUcS+VOXEKiKKEG0Ef
qj3EZYjXz2VWIcaowZ64fnuRC2Xw4IiBYxz74zIo+hbRzUpNyE2ZzGv7LhsMnFt0oFL/UZXhYF/n
MS17hGxWUX8LnMm6Sv2QYn9YVnymUSS5ImssafPn1moRs64I3eq/O3HYFw8tM4RFamg8e+11XQnh
h+xtjDjaBiXJZFu7gMqwQnWcn7om4Jn3ZWtd5T1uuYdwiJvihxcI26YIpJuE2DBztO3rivVnblDE
oEc9xsIOSeura980j6ntcEgH40uB3YAIhRVsRhuVJeGVwLj96I1DvESafQ5Ai01rq6qHL5j5jC2y
ipTIedmtnSFJj04Zxfj0yCFZVRnMBsuxNNGzQeUdKL34C4kpb4yMOjZnm53LCVzkNAJ0LJhk6qOU
oXnfedJeO5X5bFBrWfUCYVOhBSFg6aTCA/k/ydeyi4MfKiH7WFituCbv4jxMbaO3RdmqG8IjkmfP
GcW2YpHasO1zbmm8iWfLTaudLUzqPYTIknfdB+2nKCF0LZAFh0VCS8vLTCblFzvvglVkdv1uNnrO
4KMCcUVKGblNk7wey7k6e5QYtgMqyBumdfmcR0P6eXTLT1Ngqv9h78x640a2Lf2LWGBw5iuZgzJT
Y2qwpRdC8sB5iODMX38/qurcW5YLNqrR/dCNxjkPBsoWlUkyYsfea30r2ytJGo2cCQ3RqTv3Q1qn
93HrFI/wA9t4p7oK4wAb2KbI5XIsND/f4UNNgwEY8yqSpH1C0Gb9wKbTfK7sskk22dJWOy/V60+J
46xfLaEhpKjbfRU6bj9dN85kBjGtEDKz3PZ7qly1KRDgXBgrXpKYVuOaAC/X2iS6XRF7NFMObFpl
DHREy3rvFXJeJ11mfViTxXaxLe6yqG72OmSADSEozWfEfrR/8LU5h4rj8LCdS7e/lp0V3ftN4uy1
dsl3tgY4BJr54oElcJxrLenkiQV7voDHMx9GTfiwNfJxO7eKQC+k2aHs5wwtZ+s8DOmwfNX1Ijv5
nr+cVKX83+WQfzjgUBJ5aPGhuOAshor5sSSay9jqfNVZR1Se7GFEOrPF8NiyzlUTzSM6H/yrUCsH
/qzTupsufl0ifThI8wtAduR/76dak9PmjzWZrEvTI3EXJV7X0Eyp1sbuaLILWhpNYdwx9SlimfnN
VT9Mat+vulIP8IcTjQ539MerWtGSuMlo+0eJvu4Z2yQrU9MZFDm//nQfhs/v10FEBCWWcnOVXvx4
nSGpnb714+ho0SlnUdcVm8Yq0baniBXr319snTvzdQrkKR8RC4JFRIupQo9eQd+6XqW07yIFLe39
7a8v9XMlTVcAlTeHAR1eyMdpvox9tyGOkxwiZxbX1SrRtIEC0Qvs6lO7Umv+9fUEByHBY6I7+Mk/
TNaFV7NuFKV9XKYkevpzD6xIXU9Du1rnKm1KsMpvvs6fnxEmcTYfU18TyG39wzXrypL6VOCw6Pt0
TVNBZDmJ8Xf46H+8CqgPH16xDUHgw/NfRMZYRWnrHGNkvBdzinDW9X6L1vmnq3Cg9EDO0874ab7u
dKYhbY3P8q6+cFJGOIih/xfukg1WFwoCp50VifDj055LxrNEHNpHI0LaDZCFezLMwAi2yDrEdddM
w/KbI93PywdrOksIHwsgJpf98ZJVOkTzWDjWUasj57NABs18dKAU6QG4bSvU50bgtAuL168fyJ9f
bLgpyGZg68Ol/emBBMed6ktD4mXe83JFNctU5yCaWTL0/r++1D98RB4O5E3U4PCCPq5VLu5aLlUa
aJVXdWwp6tPSMqIsrLX7vJ7gpvWp+fVF/+nzgUzzELfZSDLMDwvkgIPCTHxHHAsHKUtVIlsodC/Z
c9D57Yv23kX78Vzu050ANGW5vuv9/Katc0+d15lxaYu8OROlDYTT1YtzMyzqusbUz/RipkyeRuo6
hm9zez1IXJw7ZlgWh4uaiSF+l6/AyEyqzqViAO/lTvM7evTP6x4WJ9NdNVOomMRHuVmV2mOKdZEn
vKRnGqYRgvhs0tiuAH/zqGU+Zf2v74T4+d1dyd/UlbQi0bp91KXEBf2SiC3mqHkate7kmZwfSMjC
YakEO1bSROvznqXiWvaFfEYUvoiNmfrTWbaGLIjQ6xe5o0pCNY3XKdn8+hf8p+9kVU+iVTO5d+99
zL/pZnQJN2PweOvLxaPo1u3sRcRMywl/qFJU5vrv2jg/PZsIC9e3gVYOjygG8R/feZm2a9FPtOhg
RaRh4ifLgllWPKbTOt749af7p4vRNyJCg0CBnzPKkFP48IpJJp5g0t5mFQQAfHGccmy94ZT064v9
dKv5ZN7K/dQh5LCcfXjrylwTTRvpM8HSNgfLOO14sngROSX++kLGB3kzcliWy3XvRtPIjvqxMCE6
O52cxh3ZwFXS3uqc4fpQ89oOrCl0yPbUZAOdECvGUpOMCZO3onFNRS953QZrOZ2TNKdPoI0clhj4
YfNaXGbIuubQyqLrZe50wj84nsucw/F73n1XYbcu/+1C/I7GZ0zGvoYA9GMlkhLk27hl2x6NhRny
yJTihK8s3cf6/K+LHi7FM2AxCqCl99NEBJW/0Q0TZhuFpBgDS8bnhyjtb8mdqE9rCPvv+ofr7vW3
hdFiW0MuubLAPIEI+eNdqpaSVGBlW0dHTtY3KOnDUVmR//TeEHFcEvM2cinsx3qajN9sAMbHR8Ra
hZoINk2uvM4gbfPH18wqEBmgdcmOAu5FuWBV9xxAyDM2CNMIgVp6b1hrc2sz1Ax8r/0YOQSpxHF6
YXQzagqyG+ez3pd0EZd87ddIIrqo63vFn989K6p02gzPu0hv3W7WKn7SmNoXPpogRsW5Z9Z3dtYy
518fr0JjM9jPnSLjelBz0wZ4faZbe5xojbURA9xTTuMIDYUc4pXdxhj4iizHXG10kZd3I92Ga+V0
2n6yUueWYBVt2ZOCy3B36KBR6C6QBCJjM53wV9fu/SCxVHPZ5RYsCbeAT72pwRNygF7SIy5TEWJB
s3sMoiKRMDp6SSwevW99AExiLtmqrC7I+lkw4YpCfB2Vl9MU13Ckhv7UrM1QkADJ7TBP/NnVJHoy
h4BqcHuK+OsLQh84lFRy4b8u0v2r+BzyiM6LX6x1jWx415KqsMEjVS0YiFzEq7x1VpOfH2JPm84N
EePJLUqhghjaWA7dXYsAp9wg6eHtrkXZ5Od6QVKyUX0n5I4R5HTOSRa6jB2nzs8IAdqvE3PXhQ5v
Zi/fTKfqrSslxdqKGklTDTBb8g/56ParjQOCzAbEzcwGjcy6HFa8AR0NKBTEDnX5tHMaHMEb+iB0
rroloRHulbNjbhEQ8hN7pGioskazOsgp67X7qU65tMwXdi1fZ3Qvg6QwW+OmGge7O4uU6OZNzuOS
3HJcxDMqZhfoABI+6zAMqiVeHROZFi5NhWnTMVjC7SXmCaqqgSOu4Y6pe2kNkRgPCTbLiH1VIGmp
VUFPy2v6dtlPBUfIgGk5XUYmzpN6EJWtCpyvNg8YuEhiYLVUsTe81wH07Hn6sJDSakgcpnBHXCaY
yonPnIiVJHR6+u53S3SLQRxp6XsLzi56fhkzmcSDlRn2axolSbRt+xZt9p+vlbPK5vTV5zW6ULBe
K1ICiLy2SQcSk0iYgrIrytDoEDeEyrF5iqS3+uGSwuZ7Ndq1Z25mbf+GQHkcdhPixNs/RzPk6b1G
trkWErFFbefVLkpPka2dWEV7PmhICrjAzE0H/n37c52eJmNC78q9tF3mEUGup1O2wxKjtye0Prym
ZaMxaShmiy/WAsFm7jLfiNO7tpL8IkKnd7JrCqMlYlfI6aWfXFMDB+LaeX72aiJBruypEA9OllVW
2APgmr95GpOMLZpxw7qbRUMXOJmpjYnIE6Nbsh8zBkjqIKFbwLNiMc1Bmml1pvuJwjzvkGWqDrBB
UKRDA1slihAKhCzhdnYsVEu3fi5oSuLErBaPjgCKs2Op6xOtNjrknUeDbOmHbPxzx///c9Lfzkl5
a/5Ws/zs7Umr6ltbd68/Dkrf/9V/BqXABr3VnMc4dDUwrIruvziEvvvu0NEd730W+j5D/c+g1P8D
Sh9zdYuWDEc3l033P4NSE3qhT/4NpzpMdPzkfzUohcr34/5NZiiHYAKPODCs8Od32fvfSmMTWUAJ
el0/VbpWJ7LH7e5oG9z6EVQoMTXb3DKxLc7m0KjdRJwAYKmmMwlLLvDll0taMWea2ysMnJZfo6xG
MDcthWU9CZ/qajO24i32jPixnHCUp7FjfxqAA1yBUupuF5Cn0S6tM6I8auSOV/HIfwwHZ/KbvZYl
xGR1WXVyM5y26MnvCtWZb9oIV+fENGqCfOUY3eWQAV56NPOody/bRS4wJQpn7BFqlWb/NXsf3hrt
xGys1gPMkLtlBpey5O28MZVuoiY3+2cUnSOzph5C31Vupnik0fO5zS7n3t5D4iqd0DRQHW+bIkof
RTIjLWT+tYQqzWivQpTEv4/T796xeuPQul2yN6bsa0Fdvk3ddCUMypQoJtr6+8xIH2bst7dOxgTz
gr9iXkG7iUqAapiIOzJHVIA62dx2QnudcmsKPD0rR3gNLhsF0KctCY8+kkkctRv6hNLeLhwzz0Iv
7KvBZx4lut4Vh973Jaf+xY+eltJz7xvXjh5UNxveASuGqW2ytrEL7OEWK7OrouzzgL91q5mGG+ZI
vvgOmiGQJHwfHb8uTl3jMgjvyzFdK5uI2fA8j6eu72Iv1OIm2bqps5xlFVupvo9ipjO5gDDVKbpF
RjcCLR6XakPzaEhIyZbZzpuj6MKqS+Nzs5gQH5ZWWx78wi2soItHN72wNN0rnlJFbMhjTNiIq297
9thJ2xKa7bftntnIrLeHJLYrgkqzwk7Fa9xiwuXOFSKwbeI2y9YKDaAE1wtKxu2kR0j5UWYf6F2f
vSRytnCUUIXm9ZiFqQ05yaplieXc7xBVY0MN1qRRst9tA8AYWfBQiDwC0jT3IZ8gLNnGIe7VlT17
RMuPS+Cm9bUlF0nqQr6HhBAd3bzaVVSmj5qW3E0otgLFZXZIlLsAs8Sz0Mdlxwgh2kXDfE83vT1I
yDBbCD3ZpSw1/dDYVr7rImkcfQDAQU45u201hLWlNaVHi1bSbvRq2EnFvBx0yatpOIXx6M/GS9V5
kMtE7AZZ0mkoU7NhV1du1x2BoGYHqrI3RTVxVKkVnySTic2ylITUQqJhfBa2VtPvrKXh+9HAopVa
FcZS87WgwbUbxknyzV7kZ0wRwMCYPmCg0+ELWAqUFJ5FYDn9HF+SNU92AFDKPbbi+y7V2kDUqQgY
M0ShpTJxy2+fnTJ71hSDx645IPDov+FYnzdeYvLl8LJdyGbAQ8IGWcULkE8pEa/a99IszrmXXi4i
oi7tddiMy0PqdPtab/2jG4/n1scCv5TGBirXNoYqpWLCXr3Bemyl3HvzdJWBd4NY00871RTddogY
psWR9eSgTg7Gqmw3oiy+FRbICaMaHWw1SX+farD5pRCh32HBx+HLIph6V1aD5j0ryQfXiQIOyDuw
7nTAedtyUhXD0WHk2WpAhXM/nD11Txtqid9feKr4srgghyny/aPDcnnsFRMzAluz68TvMuzlQJB5
K8RdnMi7IWu3mseHWurqevKs7LVYV7O8j9wGH1KrnZrGsM6pIZ1j3XRJyA2jpCFhAK1y8lnXWsoZ
Y/qedKW4iN2WI0oqiwCUDkkwDC6PqNbMbcuyfteZI1SOxfEPeeaeI0fdMQbXdywT3qnOtNEN29zp
PrGu9BtjcKMhaMwuu86Mfghll3d7nRu102vZM9Gyk7M5Tf6VmnTUDVq3sbLyGRSMETKSQ3Vd7iog
ngHBXi4Zlu25dSpWF3STeDSzHSgvk1+vtl4TKwU/lLA7SFJ2c0Eoa9Y9FPgQdka5RPdjPl41mlTh
JLrsEVnLow1UKSi04bVd/M9ODE8OliPPcd/A1Cwg2hnjDnTEoXayvW9kEd+itK4NEcv96KkvlT3b
W1st7YXeGQ8NkZQ8wDmDhDIphpMtR/06Eea595vLok2enNyAZoNzXK+tOWCl3WKbebH8kdGrZYf5
upY2mnfrtea+TbPpPHHrkFkPZE+xjHoveRSLzwWx9BtlurxqmsWJ1R2ukCZvB5kfOR13O3uQxkmB
LQzk0KSMzf06CfO58PYowZdDUncXXZMdhzTK91AX0jD2tYZRpbZjMyvCJfIRqKIV5lho9dYXS+N+
AUfRvOt50a27pFzBIK6SVxDftHAeh3oLLTN5aybHCkejv5xSyZ4wFo/CGi4qmH3+sLCxZj5WHdXd
D/RBsceVX4apIh94/py5ebEd+DwIB+o8BLSfnoYZBBIy1Z2Fqd4IY9tericwLTCdItlsek5hJzu1
492smXPQ9rH5HNV9c6Z7lFeBxnC22Xo5K9NQmtVtrA3ooWsFuqdjX2tgx17MtZ1thBDNruqb/tKA
sYPKw+Dw0uugz0ztMdHGdXsG3FU7fqB59vWImfcJsUZ1o8fNMG2subBQ6s5L1p+rTPMOfpsvx2kw
H61Jb94IOdLii6hEG7Gz3dFsA7MQpF5ZVg0FiX3W2A6d/6XUhluRuKjUrbE7t3Z1O1aaxgFSuyvn
pL/Br/upVaba9ZNTH8FsfvJaciSmND8aGuIXGpfDxoDN9cLyal2M6NVfs0WoLToodSCf29hm9ZDs
HbAegeeRcF3mFh+2HZ79mDCVSve0qxi10hMmszEgDcL77hAEuOkZ4wd2YhavtefO9+6oISTpvWcz
t5sQRq77BH4k3WiRo4eYrLIHQEU6egqap74L3d40sd5N1voSccOyALwhkBTm37zX/HoxJ5htmX1t
VP4265p79v1q+GS2w1ZnEn+NLc3GesCW7WaNQK2eEo7GoVhZQaOr4oS8ugYc01vUCFV8JYziosuj
PAR4BmSj9+sz4ggJvsxL+jtYot7F4jryk7b4F3U3Tw8DvrSd8FM/DX24hZeQdL/K3PvC6lzgl3T8
DWe4/jHNxMmpTH/f+HhubEReWyxIbBAcrjedAW8nsQ3aL1qdGSgtSKki/1ReZqJdgqJr58sSX9jF
WIsJSqD8UsREDPdTkcLQawZxzwLZIhjrzcILnG5Mir1VxegqSitn82q16lkyOTzFzmzvCmrBp9VV
M2OzKLzVWDCb92ViijcaKs6blVawMpcuJrIxwVtD23xL3yvfGVja0DrhisGbeHT7RQOag6vANG4i
Diom722loEvDBduUVB6YutIhTsIyEvQlTwqNxC4vh/je1yhExRWFVliC1FL+ckDW/pUxlrOXkFM2
JfMyPFrxKk6pjWCZbD9gk9xz1452ZnUB7M9mU9R1BjWrfxk6CyfS0vRBBXt7YxcYjVQk2f/yGl52
BfYmaroAnVtxYSI0CBKV4cLQx22kzOssyUxkQo7aF43jndKkREbYMW/KXR+ZWbIrBqnORCxYe128
9UVCwYQegjT76JGuUxkU0thEmmXiJmwIT7MVrpIsQlYwV1tXEmlS8dyVWOQCBmsirLWqwfI9bNAX
SZaT1A4QUA4A6bD5LnnyMvpEnFPg73SPrxhG3CNWhnoLSQFlUFqeRgf3VCY8RHQTpSHaNggdsduw
Jxb1oa6ts4+4ZA9H8UtR9Y+oaoA0O8tdV3JOMTobEg06SGCW3aax5iQwG1tdaWoaQBtpxhNDtzbo
irJ8nLqWBgosI3BcmsVwSsH9q9GGJAxUAyOr6ayVyyPmSxRR6LTCtI7Sr7kSGzG5Cx4znvKpcIJZ
J4nNmbzo0RXFJbYv61pZOFF7WX2n+AUzlLRbkS11mGi5wS0dkDq2CQkoffmorCzdFBhFd7iN/a1F
bBRFt2cHs5YVV4Cj1yisvNzB5pfXjhe96a0i0Cuf0OOP+XQnZ6SQfuuIcC5cqh6BaUJvsutqmvtr
Q6/DspZjuLRq7Zno8zUOpqNGvi6+qNoM3WFAGuK74yVT36815w1Iq8+Gt7zGjbN3Rdtfcsyd+TJy
lDXLIfLyYYsqbV8k3zVPEiTrtPqlaLPmQubqVqYmMNuE5TGRXoh2QN81DcdbxHTmHm753qhtQbcq
O8G7YQPNdCyn3iOsH1JI0uV1cvsvUR+/1XXO81Obd3135dbRYz0sHbCjKn7RNGCDPRQrcEpLGJvu
5eJ7n70G057v1/uczTEA3QzAG0hVoFW6uLSs5i4bqc60NtPDrl9Aq+agHvHa1SPlmXYLV3Twgryc
FraELOLjshNIRDFNsps9IlMVT/DLrJJvZo5hwozGOUhMo1XBaGG9hSpWPhd1RhZemoqSvFeDoKmp
NgsKvBqTJoz26m5EVnkxaJNcPbH5Pku1WIWNAWgxrDFkPmOuQKZH85NDTiMfx94raHQmw4GqOsdn
nlR7y6+sXTMv8Ql7srNTVf8wqwVFde3f+F6f3VapJr7badufliR1juCQ1YVRzPmxB8C7s0dLPVgV
BixPGa+c4bOrvLI44Mf6DS6cATpWHV+adOzCHgX7FS1jOLkLgY1mjes8GzgtDdDWdx1TjQ2BGxQA
FZqvyrQ2MbpBHMnM69K2izf0NjTGWzpQdLK6nSYzt0ZSRDcOMmHyT+Y3qNR+UBouot2Cb4yi9qrq
iflS2XwgABHZ4jhcI7+jrGgThKi5/4KPKN1Iz0X3WSaIchu7ogxSy2bM+fGtj+ORdyd2Jso9Tv07
8lZIrpuMkBlKtkugaR+oGw9uWaHULspht+anbFnNZ269XW0LPOYZthcOU965zzRrz1GYjos5Zc9D
7vtU0paeX7FVswuNnBau59Y/Ee/kBQ3hkxsjcu2gz8tQo+Ud1MKQ2IxbHW9JkV60uSVCpZqMzL1W
P3W57I5tbX6XC+hwVFDBerYwlvRasLpvJyiTt5niNtY5EEQ/B/tfFGOooSoLnDrtNjl67tNoZbep
gbgxr8ur2HGfas9v99TXkkA0Hv92mnaV0PfxSL+j6GzOMkQrrrRdfhTCTYSP3belblASdlcz/ftA
zREdbhNNsOScZZhVWEJ8C8Yu4ePBlIMkF6ItZlW29egiIfhtC/DPpmiZjyNvativBF6971gjbaFg
hQ9vg5u9wac6eJa8nVBeH9J2NjYcIU8s0U9kE1U7q5+2HLV4kunyh93Q4sMTqX69iN7Ye9NIG2Vh
06Xni2pbnHHrHrys3y6Dk4eAdiufg85SfZKWRttkHEdvZ9BjZu08G3M884mGbps7Iycvb4QwwXGw
03QyaoAI0hHYiCgdjwmkqMC2qreqq/27LNa4kZ69l6NMNigOl0cUFbdEvIOdb4QBJlLfdS2Bs5ZS
GblKNaAqB8Yk8Rhu9lBGyTdPyOt2MU6557yawqAr/tqJct933nc1zA3H3BTfrViysC39jcyqUGRN
tsFV9b3piCQttPwlkVqylWvrf7U850Zd01Tx6JUsmR9vqopeQCIWyhas01md3aqEBTpse+VMyHwt
9wbGnnHUqOkbZLUk1Y8Dh/JBzoq/xE6O4B3Usd7IbdVOldoknctc3zk1QNcx+4dONjG7mfKi39HF
QYFT9HaQL8KV7NCz7KEILGpvYcz1AywS6pAWkgEIq1oXMDtUdklpLDGiTlTk3YOG27LdlR5qz53S
8lGFJiO2+uRwRphZPoweQ7/lCwmwle/Ijhp6DpA59cseC8xbm09u3uG/91s6Fn+Om/939+v/b6Js
8Yr9phOPOZah7I+N+Pd/9D+NeHyZPqaK1a2EguI/XXj7D6h5WJJWy9F/G5X0PxzOgs7aF19jgNaL
/9V/N50/kEgaustf0ElDh0j0L4xKtvlBu8HYnKxpBExU42gi7Y/aOiUc4CMyxhVh61SZWLSdoQss
BPe8gI41POtx6WJisOtz2szV9doxD6SHGSCs/D7bCjfV77MuX+atMqb8JvG6DFCShkrbd9V+8lPz
CHBA0GZMSTWwPbQ5QOx9i00A8wk4Fzs5DcVYX+oxo4KgNopLLMP5rVub3r7U/WQfuZG7t/KC2j0u
NeB4IJ33S5qoA6MB56pv16UW9pSGopzZN6BZMMxkxowvOezvfDMhmQ9N6N+wJNbKgSSCcy0tLMop
QYmHXn/L86V+pS3gXS25GZkB7dWOApKp8sgoYJdHk3MzRpPHPNrxSTtd+dWH1ad9kStD+zLWSn53
mxSaQ1Z5Byg56ls8GZEMk7IRt2nS9EA6THW2Wms8ZrmrM4DOs5kkn8z4luk1J1QbDwPdRpNzFNaQ
61iv4lPbLNqXygHkE+C/Z4S6yOowp/Lz4E/yrLRaJ4Endx+Tpuvufb+DeUsykHpbfSifWRVynw4w
NaeDrbxnaKlbQQQdZJTctMDQU0XWsp+7VO5CvUpm7H1oWOMnIvDYVfqqeCvSrrvwl7TbCYKgvyx6
X1ymurrRltg+5qprjipalhMZNUTz2W67c8mfMTaKcwegi7k3FPczzj9z6qWhxrfU89OIcNwZrVmc
ZuFGUIBKhw86+WyyIuovRWprUPL1ZI9ZvXhAYZp8yrs0IVi6akxKeCJztgQaZYJGAPoiemZmjvGA
Z4+WtdVf9Za/tBB/dRM0kcAhliyrXDumSR+ObZVsisWEhoIrZ/ye0iCkdJxWEVZVMMhusqS6TfHT
BBbHgctY1csGhjR8BOWVVw1ooEuDEdQc5uVIX4q+GvuUXTfxE6Qhw4E0EltvchotiJtYFfZuwUkI
bFG5BkQy86boow7zKnGNm8C/i6M5CUdP2xKNwMF+HjaOsq/Twh++wMTOD7qifTRmNO03Q9uTQVMl
02lZ6PYyK+6qR7/Oos8kzsTakc68zLZ+5Yqv9AHbPkjIUjkPsFqj7TDn4rnzi4iirpL9negr+aKQ
R4R+M4rXnGYPJevczWdSsQrvAro6Md/K82tMOXMLwd+ceHQ62LZBHwnzyRz05CTxqL1R8JO5LBgl
x6GrluKiiSvvJSPB7Cq3p1k/ILPwHxa6lPTuGDatVOZiKDZN3NYksVTlK2IA/5HW/5umj83GaZQJ
cseZv9mNYsTVClFX28iLqs9ZTIkRFoqgJ25WpZ47lyNewNyqOXhR3ZETNDBz62zbv1xDQzbs/XeI
/3wrIEyk27ILSwANytp6KFUgULgAHoa+pWXUpBuLDjiMmA7aZy3co623+MDMhLamorO9r/ueFY1W
iBuS1aLvB8jVZ2PQ7H2d6vm00fwusmABKP3ZIMaWaRiL6WDoDaEsVZlme4A5xSGeScShGYYihjzB
7qy81OKLdcvsE4QYSdSNoNPNYhb1hygmXwLa79i8DO6M7t9CenYBKiMGwqLP7Y3VKu1Lbbs0+1uR
DbeznDUWlwXqRq1lPtgbyxp2GiFOL4A7xm+ySMbn2arEldmm8Ga6sfXmwLRnFYV+ZMqbZPajfAN0
uKRBMRLEDlXJCIXe3Md522y83B9p9CpSXbGgbJzKPVrNTJQXocl3PqkRmyFOo0OWs2zWwpL7SS8f
4sru960iDWaFPdO7ULhMcDLNFUOLwdkiH1++LriMyu0giIGpzR66V50MeAh1L7uZdGA7/ckqpFN1
DGrGJv0E3Z/zzexaVa5/9uacPjeNGlN0HfjYuc1uoinSIIZlzo3IcHktolBnh9CqsyPc+JZlcUI/
ni+HIR6fqFOrs0RxeO5FGxmBnmbR04jTg1AKhn5B5VZUtKiQnjx4QCxSJIuePRgRtzrIplt8tHJH
kASk5TS3EHgxTOGMTQuU+RrLNrtdOJVzet0bfk8z0pUZBW9ZXme+zq/r5ASPtwWHsBbtFq+6T9NJ
qNa5xETo3DCeM65su4o4xS1ddG95yjlkaT4+UMt56HwGqmNz0eYbsE99ue80WSPPmqNrn0iQeyZO
7iHmg3+hMQ8MZVb2Hl8ySPhILi85GbxAXaS2XMSimCkXZ1oqzG23siPyKKf/M2z6VCwno1vcQ5Im
tEDG7FYWPcYvaZg3Uc3glkU2h0q8ROvUwmCoUsc1HHNrBcL09W2Mt2+/fp8Pqp7EJYxtdcFy4e4z
8OA3eT4MHGiNkdG6vyRfow4LZDpxOguUnLBD23pH2gxTqTsjV+Pen33/MIi+fVJRDTFf2MMF75Mz
MxSuFQ0qlzlCO8KYRkU06xuG9wmnWdOXd6Opl4xQM5NcLHJFSUNJAYHLwrrhpBldLa4/HVo0eIh5
CNcEIf1Fr1P/i2hNow7s1pafyVFLXvQxyknO0po9mlMNzvTAUsPjl7BJW4Vph4RYubt0yPJbJiHj
S+O6I/ODyX3GeuLeGHPFm5esiyZeECPdL+MIdUspw6jvq9n/jPMT992QeEmDy0r2ItQrz0gYLIz+
c6pF+T0CzFbeOqpN2wvTxbcaLI6Tk/eSCalfGg79HJrHotIl9twkhX0NtEpc1sYy3ysZbybfhKVP
zOddtuA63C7CYPLZqaItoYlryWe7Me301XB4sUOsnbq9VSPzbJrxROItzpUQ0zQw3Yxhq/VHHlRD
MQsaKgzQrzJanil2p08Ma6sv2TAZTz5KgAch4+aIefZBVu68BXRcHlzZNqHbw8Jx6+nsFMszy953
MNKvWec8u/3Yv+Fxom6wiOgKWrt/dn0tu3Bcr7glw287WqV2yS1BhAZG9VAhBfxuLvZQBV0jc06v
9ODxxPUpAJJ67u5Me8znkAY+DalGMYp48JxebcvFWO6ShSqHqdNol9r/mdPQ/3tkYnQ9oBd+QXmo
K8LVP2iX3v/NX0cmoVt/IKt16B6tli20y/99auJsRL4qfSo4DgLl/6oq+h/tkg4CB5E9PG3wD6tb
7q+zk2X9AYMHYARnKlw++Nr+zdnJWsHHf5ce6/AlSKzn/yYuOYwgq1T9b9Klhp4S2X4zHHx6s5Qm
WknrDrG3HdrSyecLF0t6RZMoBv++2qqvyK3UwoJ83a9txNQ8AJxkQPTXEzmRIyfpD9Wt63xZlIFm
pEo9iwFKM1/WdISLT+liycu6XfSvmRlPpBH1+dQHOhbcNSKRdXSfak79iK7CRf8j/WE4MsBR45Vq
nGqboCylWKKHiWbGIZELBWoo+qgL6NJd6v3cpAE+fmLJsmoxNvQ1Xgbqd9bmhG7VMOkz9RuUNeT/
NC7ew699L0rIaRwr2mGWk6RXpM+Ph/9i70yWJDeyZPsrLb0HBQYYDMCiNw44fIjwmKfMDSRywjzP
+Po+CJL1yKx+VUWRXrXUhguSmR7p6W64plf16JAP9lFrh/Y0VkWK7JCU8/3YaAcjHQy/MtzXiQah
Q6zlPcuOqNp+Kjaar7PFccBiim0rAe/YFTgqt7WiEMiSIFj8ocpTViM47C0erOXWFIRq1nkrh+KK
Fk6pJE1f68CFy0isM4C37o5SulRdTeCrv/KOUGgCiCxsn1ZFXTtx7E6TV3Ybzdk+baljlRNlWYfW
qWM67WZjutAMQCNavums3MbLgKV4MYL9knHcm8c0mWNc/lgP4C/aVyuyOhsqTzCzGvOe5rEh5cFO
FTj515MoMAiMV6QOgV7il+Qi6XwYkG279mt4aZ9GcNQPXQfbgZWONn9jlq/THy6bvR+UdRuTeWOU
nVWQqGZPFnDMb05xPMr2W00bGkNu4Y7XlMVlZ/zHWL/tNgspIc+H9JSgd5v7Ns/uGafbvZ4wM4Zx
Nt12CyvuDU7FxxLB31/qLIL7IMTZSbOKhjt9DagYyw4ZDawiqeeHXg2SCiQtN/zEbePSy5s+OjsO
w7gnTd5tz0idkOSujlKYm4t1Kma9DThfu/fKqPOvRt8IM3CzTqHPNyhuvRM6rKUoUcFX07mCNgDW
wtKM8nPK5CyOshw+x6kce2+tpHWn8Q5aXL3q6HPUSv0KDGURYM7TDqMpMXfxcpdcmfVBrGK+L6my
3PY7zJJShDbSmDOBMjP07GrzVSCPGh0bkkyVp3HSuXyB+mMM6nN5jRl+PTN7oW9SaOlnA0+m1sQz
pmMUGPLoRsVIEf4g1TXxSGgUcxZ+ZhJwA4gTI3dJU+6zJivPg7DrZ0z6NxQ1WvfbJ/s2FJ3uowNg
BGvEZaUJb8ejuvccdmwB4yU3Z2nW+o9KLPptZWXRW1QnxJsbSSJ+hDjV5QiRS6KiQ5qO2YF4ZEiB
2obqBDh5qFXrPkZSs3YKHss1tQcvq6HflmaKzY4F+nW2jtY1UyF37bSbXq2GVpddms0TdgrT+ESb
KPahAXZGtJty3XxQhhz2glz8Dw30beH1vBtBtqb9CYDoVyJILj7EEHKkNiyNu8tGJR9rc5pjNvVj
9VU6S/TEQjbSd6AjrS9sGCmywT7H71FrJwgKBPihwOyagUKXScd4kAH29RyYdzTBYuc3y8g5zpai
64faMmc3gFoOeisSfNCHPrkSbjw89QhHXs7789TNzT0fa5byxkIPLdqQlYXuUaMLA5af2dhnp9VI
w9NZ4HybVRnfubmTwBOvym8oWq6f64w+uxp7s9ovlaTjURf0pKUPfdE6J9yos5/x6X4UlO8VOzEt
Bk4OM/SmHn1bR51YZgvHm203UCiJp+2qQTc/V3kEbjYeMLhOQqYwJpX1CTiYi92/Xh8q5DKPS+T0
yqKTKjwzrS5GXqNvjPb8lf5CfDeG2f+IWJ55mdXQSpnHHWENw3wzMJjdrgIRaqRY7W4prSoQOR5X
g2XJFZhO/dEWMF89GLJZE1RVF+27qtHfsfC3vpyH6gG8NFDhZYqxpJIs2EnRRz/YoOjHciztTyb3
AM1f+WjtV44cLwajpXaU6kx+WXHyOxNih+2M6mI0a+TxjTQDGQnjmWxYfeVMVnyu3LZmeGOJ0pOS
5J114+V7smDTsXAdpV5jhHQT60vO3UawUw5nkCKCOo7T2i7L4BFu+E4btbkXc+VydzWqCzat1NPM
pr2GkTLd5zAJhyVzLw3WvmSHnS0Oqb3Rskusi8Znl5R+zruRXqAury927WB3nESHuYFq5QdJfeVx
dPr5VM1hIhEqJYUxVD3dtmOdvRZQqF8jp2zvWLGFL3UWJlfDDLIhnpz1WbRy2cd6lR4WJPd9uPRs
PlUJ7kLyp608LnN6fyrzdcTLZg/PgKP0ZZfIrvS1hBWcsiQdTnqs3zWdzerIRtU4l5OG7llk03Jl
oRhmIAvpznEqafI+9tObnNmVWSNGPoxruFrxoq1nkQj11eD317wqLJM7ctMTGwjdfV1WC/eYXHnQ
O9TAbxVoXRKoJFPXFA3WTzQSYz/VSNZl+A+RJ3xnmq+HpmqDrqYT79/W/u9ln/TLP7P2Ey78h8Px
zfcv7XuX/Xk6/vUX/TYdu9YvMB6l/CPn7LedwsfgbDEzKwej/mbR/9twbLI9IDbpKJYOxIj/SEDT
/8owjGn0p2HYkRazpjRRPEw+qfKnYTg3Bw3hIR6vzWJ1xxglnTstnyJTNulSXkMjkktdYHlGsuAA
RL2gqnR6sjZJo9vEjbxw0DlKfvxLu4kfxiaDzB+KSL+JI8aHTmKYLc7BNRne5CajtB+KyriJK27v
JDfGJrhkH9oLUThjX5N29rBNmjf9JtKQMGoCfXQKVCC9vOs3Mcf90HXgb2Uv2MSn8wbVGHbzJgHp
1BhDrow1gmRO5T7ksVM8tEb/ojb5qAOHhbMDSUnRG7iVrLUPG2ImMDfpaQ1pmNQmsz9nNVMh2J+M
XIGY9zKWuKOTrMmfBlyX77ZdNDCSqxDb90rkqOEpfkfWPX5tqNVePA6U2jej0Qjc2Gb6s5r4wZpV
uh91OfJd1cv5uo0mnvJN91wg2YOoBejBAMFE6cH7XZ/Kfsg8XcxfsnnGs2OOGYeANibXTVKyrSlr
q/sMCY0RoOHv8DnP0uLGmcY40Pp4PbcFiZNdzMzv56NjbwknrF0pLSJ3htulRy2PbnEOpAExCRp/
Yos9LCyCoz5VjBNxOVxTgAf/URSKRkRgS4+cjEOQIQ17PeLdrYPl6bgYTXmxG3265kBcjtRqmu+p
NKsz5r3+EcxlPnMMatm+NGocom1MhoCm5OFCOkoPWGloPmCU8h6wt/nYL7L/RLIl/7EYnf5kjEPi
Ky5At0VnaTcmldQRytIb7xUCbTOXLkeuU7yZbTIGwqlLv+Ss3k9lRixXtzQCCe2Mrt51t6KvSSjO
/ey5tGU2u5QPDqgyzXW/YmZnm9C0As1CW00gWzMesL1kurgvu1FnLeY2PZyHYt0VeoVtglQ4Vi/5
Phqjc/VBCCGUU9/IVkTeUOrszWn48uIumgMKFkGPjwy/1/VKbi6PaufIIzT/npZReqfXxCuTLFpv
MyutayjLofYV349TsPLpBJ2Lk8JgzBJyuCoTZXN+xfE54V65g5WV+lvI6w3Ljf7azul8rdxM38ey
Gy6JXbMNqepmvKfOb/1E5aZh7bS8nq8oOYueKGCzbp1GIpPX0WEcbfYnUJDQxrkbZpbZL0RaVnbj
QpQ2q5KGLFwMiMxXXW9naHWlxh7OUTyk0zQ8GTg1T9bCw3mHsx3zDxMAt1zVhsULx0jNXJPT1hk1
+h6x39onWq1f7FiU01aFip6E1L9vCcfcFlER3baxNGh2VubnnK0KMVbca69dGENmnp1heUQ4MyMP
xrEG+F7ER+bL4jysKF+7QgMa7Y1aY41BWTOFU1KB1V6zYPzfaNieXmxRNpQnqCqk6rVpQk6SpF79
tai+5UKnhHRQxXwxV7vgKZ9ZCa3Jy6i9RGMHTDgFdxIiGUQzGAKRIsSm0OeDGYUNC7ZTz/dGrovX
tgvLwcN/0dZNkKuKJe1FsMudE/7iomIAu8RkEhUuJdKLYkE56yCAH0OMIYt6juyi7h/6bfdJWgHy
SHlea4OIi9c7BARqX45GNj226Rw5X2niDbnPxXauT9ZzQY6vsfdOjYMv0IahT78tyBwiO5ApaFse
XCg//9uWgf97Ipmpbxv5/79IdvN9fP/25yng11/yu0Ym0MhMyWNXZ6Jgkf//8n1igz78LooZPPch
SNnc0yyC+YLh43dDgcV/spTDBxIZ7WMk+AuGAsDCP80B7FC2lyHNB4ECQuSGwviDKBb3ch7LtjYv
dtjZL8skLW5LQkPKX3PdX2K6TfD9VGcl3EZg7mrwX6/Ywsme54fB6Jpr+rUH4w1gZXZTsUBl04jF
nQBV3XBsDAzZ7B/l+NZnsOL7aOE8qeGeeO7o8Dis+xRfkYpLWjCmRTwMZld9KsdwvF1bN5xZqJXb
/X9tbQJ2YTsFCdbno93SOAl0kh4Nm53WQZE+r3Z1zAPNozGcmxrg9flOLoutgnh2pujoSrEOPuxB
KmCGnF5w3IHZt8bWmtskssYC91Qx34a0n2LGIr+n+0VdLNkGk8zsU7W0EmlFDAhOfFf5r2aH/f0M
nGe5ayhXXU5gGokMFMUya2eHHxB8QrhSXMMXuTDvDZya965Mo4c1zcbbJp8IIeOy8wFRMNyHXYXd
YWrtY+HmZeOlslojNis9TZ7OkHHjkC0pp4uZGc9Aj3t7rf2J+p6+OYbCSoZDERp4Qg8Ox10U2C0k
H90HrtiWupeVznxjwsMrhccVUDvJTlSUvNRRQ+IhVdIpy4xa41zLOWzrXELTG2lmZX2qBMkgKwnH
+SZrRunCGcyT1t3VFf7ogGPPiaj5wNUREbGJ0xCdZNECbuWCGgarA9HEmzmMdn8NRHKMfZ4DlJsc
aZ8XITVPGCP9Rnbj9sGhqXSdieMH2pxSHoIVhCrUc98PQ63fCAo7e5OMY9eNEwcudULkRN8iBE1j
/cThupTtt35q+gLbFfTIPLz/94H3L118TE6gf3jgVW0f/4f/nv0ca/71F/5++VG/WPiouHCoLaVs
bOfZHy8/yP6uDnKKdcJ2Iv5+CrocdTrddBJnlW5RTfi3U1Bav2zxY/ZlOry2zXL1V25DMJn+dApK
NoggkBT5M4OnsRQ/s6Ho/q47SjGM61W3ZLQeki5a+hD5m7JewspaD/6hLvi+7kbHopiENPb6STNy
3OdGIo4d+ftrvsPDfmm0IoiWpmJLtnaXKiqP7LqHM8B525e5q66qodQegVtQhlFG2lWfOJuUXajH
kSniOXUwiuwGQnIHUTcVjb5IgAqZGXoqAH6DnVxJBic0WcgykPBzo2ZY0TFL4osyi/ZsuJhZ4ia8
n9bmdu4qH7Kevu0lxLHpaqqauAvB/lBnIUM/HDLXj6Pm22AJ1p5p3XnF2KZea5bLJWwjDFU958io
f4010kEgsrV9mKa0eunremA6BN8cGQdOvvKVxt1039VZ4pPm3udze9tmi9wDPunfuYOZQW4XDj5c
rBFmoXj9Ai2Qd0r6fem4lB0OyQOpzcovhFiPdWa4lI8tm35Yj/S4pLft4upeQ4Rqz2QkdmzoFQ04
tYmGY5l+lKCeTkxYu5E19zlL7EssXBoFzOLB1Qsg8rjS3IJeDsnxEuYGewxqFhHBIx2Lr37Q0K49
XMIvVj/Sl4yivEfK6/0emdCnXyLyWktTe7ivX4oOAXCei3NNKfpV3SYLWe95X612AB27Dgi4lj6u
N3I01haKttTRJR/ZLzjHnMwgTreG2stiJtXOZD2DrofKaQ6YlmmeJks2FsvJqEhM4ZXh3iqc0Wct
jXFhFhZeLG3xu1mXfglRfWc51MIMin0CG5W9S3FYPdfyqsHwDbGGmIdlNv6ApYN0WXSIzQHsaYOz
L2eGztLmqerUizOv16kx2bsIHTjQykTfC32ND3ZdvK+wr1IIoIe0ClscD1NJ/irVzo3hfpfr1mFC
ftznM/GUo8qpiY+E00b3WJ0oyYrY4Bo8TL0sov3MEasnu1zfid46NUYqPi9043hZ213NWvZlXeS8
n2On3qdJuhytkhqldcVkzvKCCEqZNr4d1SBIVrRtysFm6pL4d5lo37SuL7a2uBCbS4cNGKoNNUz8
DVamKwPFczAIzfS5NVR0KXUYsabzJaLTCAKW3XhWrbQnkCh4QaC1SN/Ok+ShGAkkQyzVkdnj5YBb
sH3i6u748OizhxVXrt9166VjER+wfJn2SKEqWLOh8C3soPtyxrXWG5qOP60l08mdao+7Kd5C3gZ2
YxMsrp2qkzDw84DhHY+GEZ16azSuOk0ffM2I62cgM7yLDtknAzSJpyKqlKypaFgjVhACrFR/xtWo
73pNKL65tL33cW177sCCDe24fMzIP96F9aCfRd9N1g4qXwzASstiqAyEreceTgHxg2xv0jYa8KMO
1zYdz/yP2jUlEfkBH/6NJrMvyUgEGrsk2YyG69jgjJpvr7yf9dpR6xfnBCBM/cccxsD7JtBpm56z
S1X/iN37NJSjOjt4SzZ3wIMK02Y/6Sb16zgjycDnypcSX4bRuF9ZUDwkbNVCMdzlA9l1HQzcYUm0
74VclyBvWav09nUy8f9TXnyY1IKdBFsQmW+t9YoW79MSjh2teKaD1S15b+jb2kXO+thVBkDmjfaX
Z7a2m5yh93DtLnuD+iq/LVkO6pFqL4thB0NhvLuNyfyTpCZ2js56DI048grbRbDWdjpfNZT85vvY
McvZKyYeq03Ng56zjWNDBgQ7N8Z9tlGdlj5jXHML5xiTDKFN/rNS3XUaSdL01vziTLCIISHQLbSY
CoNrUj657vgK2H/y69r+jr0LWTtMem+K8idDDFe27Nub2jHOSUVQzaqq/JLjjyv19i6PKcMKzdjx
wqb50bYk+ahdx4S2DtVBSpSVkAv7voGHcL2QCYM40DrsLli35LQ+dWb82V0c92mRy7HKS3G1qnQI
RmNpgt7JR392eMVyXZ8YCJM7ctyEGXkIzVo4M5exVwfZlAftYIFfLqzHOoNDo6g3v1qa7gTMiSZ1
Wr9YIBLDyGMeL1wx1Kc8m9+mcBiO9kIcazDIFkV5HAxGPx3mctYCAriWZxejCwx6vNMjG/FLyu0H
J7XddKHXW+zmC6zC5M24nSQBdT/TjgMtP4lYeyVlne4a9rQm2zrOwmE4OZAYOWuSFo0nVEfO3+RM
GnA6RBqnHD5PizsGigzbLpb1q2kFETFdEhY1JjFZi0Nkp6/TmFinVXOelr676jKyzbUW/TC12j7n
ZR4Gmp2vO1krEUA4c/ZCUsXk1DpcbvKYbCqrMMCkV/nktNCgvuSqK/tn4L0hkWR4V2C4jjOpUlmz
j0DUnF56ahdJQ6cNoDFgbXz6CoecZusSubdjI9u+ZESyrM48NkaVsP+2a1hLz+YwlSYC77K01Fvt
ra7i9M4IhNYTMG94jNaDKQtbtSDg53KlT8wcO9v10ooSI2tXpjlkKkjodbu27eXf4/W/Nl5j6P+H
4/X36T+O70XdxUn7/U9phY2gx7947/r/+k/N/gggoLEiKPwhrGAbv1iWjUqgOxu79k+zNesI3DAW
zbDbWsLazDK/226MX5Rr8b/DIWIaZrj+S7P1nyZr6LVsLkxMQTSr8FOw4vizvkAwaY7wUa5wsPGd
mCsbYZ7CL394U/6HFpSfUhG/vggcQzjA/Dn/jifbV6NWQxpdj0MGTm22uxUk/Wh7dSb7/T9+qT/f
FH7980jeFtuSus1gue1V/qCXVBTGNmlkrsd5TEDW5wnGBIPYGz3Q2PnBWx4L4rSHebXkDnxB9U9e
/iecJmW+BBC3+4oQgr+0n+Ua8BCONSmjOabl9GQU9quTdP4//hNuis8fCY0fL2Fh4oJgi06vfmKR
tq22DHoomiN3gicqKF4weVTeAMkau07Dp/Rv8tj/8DcH7PXvX04asKkkFEp8BzofxD++oTQGSjVj
LTjKyWzOUVYIbkauVpwzC3E3B7oiP+oE6ZbpqRY0Odu4iLi0GRQf9YNsYtgbGxGiOfbv7EQanarC
sRpdwoAfFYbotzzYjEbU2zLfpeTPBeWRFuYXI+WwH7v+Rym3lpi2140Xso3Q9haXQQ5PpHkTNwPT
fpyZ/qAv88uCIekaH8cU7bhOtiyLG7d4UlYevSaLXWG+b837MKqsW6svswdl4TEbJY9Mqh+im2Es
xQ75l6slTYjYZa0mGId1PSFQX4hejoFZFD+knT9UifyKf+m+J3GBg8nhsqHPnyMeT7xEqvbsfOEX
Qc/ys3ptDlmzFdSWwre6dPqOqaU52Wl8Wy/AuRLuOXtpFMOeDY+6meEseK6mwjOS0YutifCcxswW
bLE30McIEFFz6cbtEn8RaXqzuk301PMc9Qaujro7RvRB4Gqfp3A8rkke7lMaBC6YnbwhJgMZwvq+
siJdZXscBv2ySd2Re0LCBpeTVLb71NhgpWO0Tc9wgBXWtMzAE6sFPqlyblv1LEtbe42zsb0tK4BQ
FFDPxlMlMgxZbTIcEWnZyLUtbEoY4PFVWDTtpcpxvhplkwVYb/mIFA3e56paPK4sgkzFYARjkusv
ssqoDhyZ9bQ4MYZPQ6IDO/L0RVxTbBI9JTE+jTKhWzFUBV0KPGcxpyZbqQHNnddhGLf39YqngEnz
OgTF9alZnf5JQlI4EloUFzGb6liUfBZw3ybB0JfzoSzMTzFOGtx8CYn31DZnOtAS914n63OgCby9
rJFW3W2dsgbRkUs0s8Mh75HrQTtRIlQpi71Vomq2hbOVHFpXDldJuF1l11jdJYR5wtAERRv2tti5
IvqcDlmMx9t6ncfoLItwk3Gn+3rJnrGosYcckRgkmIarvmMqSGIm5nGIpnsaYcTBMHFbEyXIjwsx
+JNVd80Vt9eN2BhZ1W2x8NzgE42nkwaZSL83w2Z570g4bbUybI+jFGUjUgaliy7jX84ahvAy/MQs
bGy/0RteLcpMUp2uppkeczkoqzpezrPmhJ+crC+90KHNOwrD6WrGVYScMuCJcLX4wGou5LuP89eQ
OkvYcGDTaGX4S1Q+nVcjFtebZzoIU+W+VLAk2EMmpa/s+J2w2KsryL5Ffa8/JARejsZofoZkdq05
efSYbZkrNsR8t5P13MtqYOzO2h2wtN4PpzHzG4fSFrWmF61r6nvcG7kPIPQbFziwX9D7l51DZusU
4u/fC02/B0YQ9Hjsj6k2cOMjwHNYM37bKFTNMyxKG/97N2l+TVM0025lvncjfShVXKt9NwfUX5tP
llW7XimytjyV9tjdDVpt4vfWnVNSTNw4KAz15m1/F8ekkIny1utNmGc9Y25YL88VN+FrDqT1JGjR
2bEP/NRWBIYM19nuQGHl0VVBgkyPr/HKHGIeAKT/8APuogj2bF6I8qYrnFM+Gs8M86AmQkEyyWnP
dBxjMMLQ6YeZ5lyiMPsekgwjpNDt7cGQ74Mua+R2c7ytWf+7lF7z3eNIULfJwtoSGHt+UoWBIuSw
bqumdXqr2LzjrWu3bg43XRb6VvkCATSYN3Ollr+KqdHxvazyHiKt8k1qnTyRF2m3q6zcJMIV93sF
CpXviZq/occTW2hKnDNdidRgpy8WtcbHxU0AXjRtvgEMZ4ngzumRO6DFh9WW17mZTA35hHVkBe1o
R7gRisC1/dUWJjmRkbJmvwmtlDS2Y2/KhzjALy32rSEX2BILwOBMkl1XbnwckormznmwjhZhp1uV
COpPtSj67Fh7mjyXQ77EvP1jPD8LTi6u+q7DJn/Jn0yahTxLFzVQ6j4zHmWj9gog8Gu/ZPLzzI38
RrVqfe1K06eWbEp2ad22N4Ooe4As3Np60lZHopjU8yo+ZDw8f5RZZ+A8bLNARWF3ouJ3Oo2pyZnx
axMvSW32G76xdfR+POr/vTT8J+Yh00Ta/sNU9Hdc0KfvGxe0+87o9Ksb6fTtv/7zt1/124DviF8U
UqHAtP7hD/pNPHd1TEWMvMpwNno3//ybeE7wWDmCeZvhSgr9Y1L8fYUof4G6j6XDdmGl/9VMsrR/
WiHCrHf5prq0AmLvZ8z+acS3l9bUaJ4pTxpGFVEfALpF6bjHwzjRolXoCNwAg42JLi++zwW1cD4O
Pr6qUWgfm4JSpNAKgT0BNhU3HePg00zT8l4leulHkWKuAGrEV0XNb1Dy2EcupmW+uxFERqPWGUtc
a/Lo3pN73NXfhrLuT6PZRQcrKSMfubvxRJjBhlr74bCMur7jxiKr3erOXUBIn/bg0snyXbpUb7Ju
IBFDnjoNc7QGeqKCobNtX+9HCtDTJLoVbegcyyVBh4lxlOzGTuLgoVqheovF0ByMUVvPnOE89ng8
qi8hzdPA6Yoaj2SBon6p2qV/ztLewSy16g/UWhl+mdv34yDcCw2Sje8UHA4YReOda2aMWIRu/Cxp
MAynenugxLA8Tgnt6sQb76u6sk9U/mF2J6W38XzFbWm756jMfKuaszuep7g8Q8yxYpmcfU6QE1ZH
Yz22m5t5aqTu6RhUSHrN3Qk4tHYMtVVQ7hNr57yDk8aNCuKTxqAJRaa6NIqaoT0Qji07MQ1PuMzl
nq0K6duwsA7IIjRwNQSr9LVb7+vR6C42OSjIYMaTmov565INPNqmlEC5nXX3K/TvHV6IPFBDRTCz
npcHmaT2l4Htb10un4mBdexCTHCGI7sG0wBOOjpJFeA/Ud+chOTGZViM9BJZRbbLWYjQqoauuXcK
1Kokdhxq29s2aJTBQKtvbkyKNNFW+hzqR+t+cdpy+sGM6gbrJvB6DUi2Pd8beS+XqUMkS+vneBDp
szNXy7umWEuhf1n6RQPWc+Vom5ZT6PwlJ25c72smgR16CwPumjnnEEfprSnG6pJP4hkgd93vNDx2
R8J22f1cNSyLS56PRtG6V5LyxJlYuYTMlAitsI+DNiQQI1h6kEwYZJZ5xBaggiRrkJbG6O7WuTWD
WNaOZ5DZQhOrjOK4DE5Kps8lh4UPHPpYbnCbMad1NPy0IdfcCbJ1M73Sd5oGnN5qYCQRMr60yniv
8sYOr4FkzvFVLfJXRQL0oaisQ6g5QgP/OcjQOOQI2JnNg3Aq3a8rHXTJnnT0eruOMzGOwXCKrym2
HXGdQMbRTNU9x2Uot2V23A4QZ+wnGXYEoNtB7ImHuuepsg2IHGHHBEzVWP1Qz1oBmzpZxoidjZ21
z0Y+SbK7lp6VYFnoa6/sM7cOp9P8wkrxy3NQ8r4XY70GWL9LBQ4+CvVPa4zY6enocjekxLkz60yv
TbuH4SMALa1O+C1aLGaojj220HFwkXiUe32oQHaGVobnqxi4drVSZAxaOd1+eu+mX3DmL9rRKUe9
OllVTgiSSx0Jg/GjDjOc4WFdJi57L8VCSWyGzYNPCveMCEGy18dd2UzzXUkS49sizT47GOFMPaa9
NDa1Abjd4SoKypH3pZXxkmsetWpHOkM8mRElmV5GZ0i606c6OfyKOYdvx/iHxw/FlcEiNXdj4pbV
re0sRgWpZWhis7/K8snS/QrJBFfzbEd7PS7VLcPEHFgbQkHX85HotMV77CkRLk/5xmdoSQu24Hba
BoBW4U6UvZrqUrqyOWWJy/d+tkLf+oA+GANGBDhK8YFp1TlUGx2iBBOxfgAjWmFVuAy3WxvSdlBN
PWgJOjRtvlQfyIlho0/0qTI2F8XB2sgUfFdRKkWkkn0bVaYW6BvFws7rdK+MjhWSOVnaBrEob+wY
Y7wz2uqmV834yfoAYwDNvlpMQBY5bj8/m2V06Nt+peBzHVhHFd26fKXK7wvPqPZGmVIFkx1qXgLG
ywG80OiPEbDYYKYu4pn1cHcvJRhqZPqc+cnubqve0YIcWst5LPXwK2QB6476PL+zVXTi6AyP0DT0
t8wWic8Y7HwaBcPWrg/hSaZWM1/Zq71epGU4u6jBk1lPS/o5NkxxJugx3kj8hL1WSmIuOtAc/GHY
MlI8Nvt0Cdc75RK6AMt96PKyfl7tqj8tahwOG/b9gLPFwvUoWCCsnTZ6U04yyKbbLfXb2YCKZ3LE
u4Zp+ST5Cbny+o+zK62dIZJ4F7HUuquXiO3DulkjYe8cFH+AoO6yMSdGIWOOxlW+mRj6eRZabv0+
Qhm90DMpvo/cZwKLxso9gTBxVF1jvhKKqPeGC96KGgYuwpjY923Z5zeZPjUvQxo2l6Ht2zvLEu61
g2XPW+Myvc7iOTk0ZjzeZFxkPIvN+xFj/ufGkcn1Qr7rFb6nDvtMuPwmnWISKFZ6LIBoeNTx6Tfd
HBe9l/DNv7NSewbXqtp3xy5RPVTGMnft71t2MRsD3FGnAs7Ofabi9UqQq/oydREZ1BnIccYl+BTr
0WvYlsoTZcGFt2TFq+E32idknp2dLrS3uQz1vWyj+mIliX5lah3+P57+3MG56/tSxBLCoeifNQMq
EuvZqKNFhFIxV5uqXTfOyvUaDBEejDcAv+zYkWcKZ0Mg6JkSEb+bToTBdPhSt2PvI4FZ78bsMFPI
GDKJraecBG0Lq51vlVpi+9FsUyfikUezdRQ/dYoA4b89Mv9aOAAf6T8V8c/f2+778scBn6/v9st+
V/DNX7CyKNvFG/h7COC3Id+2UPERLGzWxhhdtrvE7wYZQUAW/x7V38i1Nr7Cv4n4pvMLH2EyBfyX
j/lf/RURH+X/J5XW3fw3Fj3tDp8yyXX3zyotj0skLMBZR5cnk0lVqokzOqra7IpmbeuKEF8zPkZW
F54rPYmH05iU/X1cY2U4ZACzMhBwI8xXjinas8PBBM7cUrtczxGGvVAm93BldQhurJ4jl2TRClTg
JspEbPqAe8Kn2SitN6717zk0l4jf6mnk/v3YZ9V637XuE0wX4HYlgv+uUnnYbVW3MFHQRy8DnsYS
5KIjHjrQj8TNe/3NpV6X9mMtMR7K8r/ZO7PtuI1s2/7K/QF4oAfiNZE9yRR7kX7BoEQLPQIINAHg
6+8EbdWRdeq4yu9+sEbZpSQzE0BE7L3XmksX547HaCerMIPZxwu1jy8J1PB0qSYJJ82wrPt4sQ3Q
8Ib41tkK4mYjnYkBY7WoE6nHWDTdqWjenBHm7qI7ES1ul0Pz4ov6SLRTQfqF65+R5NLxam2NKKcL
tYQHWv5CRnk1nBZwehHpAryw8zRoHhspc75hya3E5zFf2iSqy9B8Cap+ufGbUbASCqIOoHIc4YPg
4TUGfrsVas3ADtZYl/XIaDIwHai4hYJImrFKbXTHAIMFgVOh3STG6zA43gObLPI5f3CsaxV2wjxo
zyqf56KEeTgmg/WiqrVJXkwmP62s0ulT2JTGtyXVIpqcNj6zSKfvBs2QS4Pk+fDx/rr1XXFnK4jW
/HmyofHVmxrDZRT4sDr2phrqwzDMI9Bazm0M4o0doJN+R9L7kG6CPrNpS4GYSTdDXxT6mrN1mpLi
bBULW0q/Hn89QrMPzrK2E3M0l5D2ZXFeXHkalUsXDIA9rZAssV8a0gH8vdXMIczZwmVeRHn6goiq
OOdD12357eB+u87LYMOQ44AxtHxWpKk/pI2aX9om7a45rovHnHi4PSRM5W9pNDtnsCnJVdwCP8pn
RFYlWe5XjKSyKPRzQIbAOTJGEnzIfMGe4C12Vx88E9QNrkDcsyQH+CvAHKZCredD6HbiUDJ1/qZ9
SOpRrKpKomQiKZSiEqDIXuRmn16KUvKzxIDkyJeQdm3UTAzl2YgV2pJdDwfmPq7EfJMtuogcWkTb
pTfjm8qvMsIgEh0erF5Ye1WmznNJd/9QhST+AI4ADok2JKvCQ2GZ3UMv3RevL2GieuZn5KRzHtFB
Xy2ow2KQmUyqcpXESx91lu/vs3AB0h8wjh84qp/xpbkQF4dQAdss5W3nL9VdR02w1/Nc3XqZa52H
pMYhD495xwTapeT1e04J7nJO3ZbSvMBOzdHFc54mKGwbr5rBG8fK50GFgrVxCaKNqIEzbip4H/u6
H8mxlz34XDPOSavSnQGA2OluQIsAqQmd4gofg3eLIRXIdorYa2MGnTmwO5aUo6EhaAGSPzRs9WQG
LyNIqpvYspKvs8pzNg15onL0t0sjCuoQx9ecsNBrbeacMKnI5DVvSyuIsTRyBcY8kVX70EIbzAGU
WeluSEfiIYyiXp4mbzbxMrTpZWQIcF7MRhIL780Huw1MG1UOFk9QgI1p7Op54dw3lj3ETbKUoULX
nsWj7GnEcKU2t6Pvz1c6RmicEu79WfD5HaKKkNWemkoG3dZfEnUeYmIYjNnH2FFoOu2bak1e2pjt
MHDWCiR6AWb8kSrt9NEPcJQzRcOma6sqvxo5h6ONUxwNzdxGEej4SAaVGKcDh6I60nP1RvZWu0MS
ZwNWa4OLnAfjsSjgjqLYS5e90BN6mqAue0gn4aIoCbHAB3iE6f+ymMMxYVXq/CGmbmNlaYs+/iam
qjiXkifUxiUOfm19ihq0pg8TtKBnhQRi6xuA2WA4QbDFRsoOo6RfH+jiqBOGEdvlcdD2PQQafhHG
42lb29BlonIslhttakyeqTZEfWHbni9Qg+VMkbT0O8hqy40KLe/qn3bof6d5+JDX/mtI/L/aoRc0
Dze/TdlX+dNxaZ21/3FcoseCNtj1PUesMZZ/8lGYyIY9OpG43GCHIDv+13nJCXgRZxsRMqz+6bzE
UQqzEg5MUrtNm0br3zkveT+N6emC8us9htrUKagS3J+OSy0gikUnFC4Ksuf85gJC6BCpBT1thZRE
FoZVmrnefMxg5lTGSaL281SELKM+EhhoHii353flQImKDLPxogkv0nI10fT4jaFFsPXGCblfe0yM
ZSw7dphSz+6DgUMtHBIGeUQVdO9lUGMYM2eCcDwOIUueik9mZvQ0GyWNQodHqCe25cGpSfeJfE1G
xyuJYWVGI9GlNIlUKs26OmdgzaIpRDJnU07OC8qkxSum9BrmUNuED6kdLGsWDgBM1iwLXC3T+bxu
qu6xoxFt7UK6BaX5OWuDfhkOdUONWEWdWREjlZHECMnNbJEYd2oftM18S3lXU/vMOuel/mwsvzY1
Jf8/oqP/sl6BRfpX84jLh6Y/elOyzH4C/nCxeOn3msX7hZ6EH8AAX1VGH0/aHzVLCLrHXuVIpoWu
g6EFM4E/ihYGE5z+LIfRA95gXsbz+X0w4fzCX7UACDmCsdZKEPob3ibUOD8XLRYkBRzO3jofwSyw
Di5+0OoEK5MCTlZ+JOyOgGFLFCk5hhTzemuPCn9mPzamJCsrSEkkgJjsnjhFCLjdC6t+ZGsowHtO
XVWxk55MWqyz0tIrPJjCf2OmTvdeZV54jY/aPTWQSy6MIN1T79L9gt3D2J7kAYdayKIa1zkGG55T
agYc1+G1gEr6Wndh89qYCzGAxPPQ5UOrEF5bKbNTOMDWhYM/KSUYBXwfUwAmooNdBqnadYWxvuQj
YbLA03prtz2dD/YuSMccFoBjdeF0nxCw8Fxl1nSvcts5xcUaJuo0U0Duo10X8iw9JcOzL4LuvQvp
LJZ1hTrWSmuD5gb47qhxkeLOREsMBAUx9dw0RDWRMmknBONajvW4roNvwZpCKaUxHJ0xdZ4WHdLY
dAhP7RwT6g3sY+uS2C2fv2Ho85z7JT8aK8OKvRE5qVxYrrv3XGV8A7Ur7UfykJtXRAV0SSdH8dfc
iYxwutDe25zwOrQHvAHP0rxbTdbFrekkMCLilL7o4NC44Ug98andNdA3LByyVnOTzy5Kj076gPb4
4rtELtQMMy5OASc0JDFzo3RGdEecjSdHChhl5NDEm8BYv0/o6nlC+7UipZH7mv/y+wUtzYQ4VkiK
4tke1iuM0mS65ZJ23YtPqvd0rZuYUNuJ9NBqa3bA1u+MyuYjyDnnpzRjyp9hVxIK6pUD34vOWdM3
v2d3sqijQg2MIKH91Vfg81Y9La5fvyOAsqwWTus4or6lODmSjTnW4hlN7z29TW8/1ymRO6TPEebG
UecuwMDlbsimMCKGNPZj7XIDklmw3rUVNzp90SHez03CT1oYGCXISTGN8064iXBpT7cpQ2S0Vv3I
3WCrjisrnD5wdlQ7zglbDf3uMgh6InSSjpsPf0y6jUe2tg0Jpv07bce1v9w31iXVLQ8hDD8uMOYH
RiihSNZtLGfkc64Bv2dRITg07kZuUZgiPJbXshHUBuTeOScjB6wC+sThfWfLQPpuBfWXfB9kwoQL
IajcoB8n53VaW9o1Slc2xfU+mXEKvg7rJQodoOqVNzSvodXxw/rWzA6CenoHqTJjUDhi+XGt5hV2
ffz8cQtnRsD3W3SM89eHfUWSvMb+ON1rZ+Ar0TZmwI9MbSB12P9SnPd7Us7FM0cPvrierE4nasqQ
G2YITHlVwuDjDlgfCWq47ACHly+PUB8utsnCwd7YvhKmpI6t16wy6sG3Hl0Qsc9GbtK/b7qceFAm
OowwGQuSxSVJiF4QVRFT4ekR2VLFxzFJjs26iQvamjN/C6UmN5jh8JDTxuX7iZlsPI52z6cmN9fe
MFJ2TkEqxbWWpbhemPkRz57N/ARJKBjJNUaoiLkIutS5zds1m9hQkLA4Yi9iaxKrfSSv1SQuOxfX
9LcNZk8pltJJFnxeZwJ/sF+6eUjpPJO2Aq2XfsCGduZ0X9lSp/dzN0Ffywexy5gsHRzoRveFYHkO
68KAtWaV/ByQ6u4JIiUBDT1Lholm8bH3moFvkJA75kctf8lOi/a1MOP2KOg3H4Di2o+Bwz3vc2KK
QdrmCl8AQdzucRpYIp2FDzwVBXeUIejnbkvbsB5j7E7NOZEBSYlOXZXpGRM+oQnmkh0GF811NGqu
Upmt4e2ZzdLM4IR7isqXG5x4aS6r6krvzYQiSdhFbVmP7UDSbe7NGlSVIoZqA2OA+8XqerGTxL6/
alpiDHwATl0yKazHqkIChIqqWYGT+DN4EslMmCGnKX48NpvuPSngNGWpx90t+BU4gsQzOTRWfuU2
gzoCtoKn8XHPuzaQm8hEhO+QurLe/0PgW5chG4nipnfG5zTXZW/UVtvDg+O4x8CjY31THR1rGgbr
/SjmDktXG4pnw1m4kL8vaXlnZdWWJHZuJS8O1XDKww7uJYYBrUB8GNat6/N0lWWBWGjQfL1MG/cf
T1w1hu6zrvvJiqbWU+n+Y2WVMrX8g07D9tliYlE/6ySZi88ekI4sKt11lbJGnR3ctPfeBNC2XT60
1Z2VDnYUJvU7HGZxUk2zbgYtI2BygxJWYFEu1kUvHgsZBACe4JAelLWZ0rS2Utif6Xxk+XEqvbUS
+vTMQ8jrsSJfLuKqqrs+JV4tnhK+kkyUd0sO3MHMaJdFRPckz2ylpIf3NCvO5KXy1BTDxFrLM0nc
AEuM3BjaBr7B6MR/l3X1LBNLnTE9D6bezHB8OIc46tF2w5MU60ZEsF35CL+iIf9sCG8BNJgxz+7o
7FVLP6G1rP7i4aq56qCdYbdK0qcsaL1ygxHs17a3d4YtW5y4wotw0ERmkPMMbIbKqgx97Pv51KVD
QzyeQHx1Cy1aRkDKP9ewPxr0f3uD7uVt446bvAruY4zr5mfG9kxVsSZWACFg1VWsqlD9mKDRHMHa
Zm8bEzyx7dsLSYYd7ZaN37p5BB29OlofA2ucDaT1uYWzLz4G2qSq7811xu0R50pcV6DnkQxFtIH7
2Sfp5yi4LVWUkOIw8fWn4qp33OVTOPXBucsF21w2wWf5GLRXjNzddfZurFP4bJ3HB+tkvrRcDiVp
CDEvzBncm82EVakIhivCkuBTYAl0Np3hTW+lK/MnZsZP2K/a8rpsO/euLchmNLBThZGLSX0fjs74
rVuVBOmqKei0INlq1Rm0RNVtQzpFxNDl8FXGdtzOqzKh+hApuC5DTfzu+U2o0ny+4fvy39GF1Ptl
gGMzl9jwkkw/iTWCFj+jOgSx/nVEFuGt+ggmdfN96s311iKoau8UAf303lN3nYkOgLxSf8c8a/qa
I7wwQHkzreu6mzBLl7tqmb1IBkO1l+Q/HWIxIsIVmbtL2u6xFQPSDvUh8+iqVt6Q7M0SRSBU5GkE
DgnnhvNQKetsQ7Q+ekJ2pwJtwrV0SNLlS6vpB6IvIY1Okn7RhjuDALVNzoqFSL4qbgEMISAOz8ZS
WJ/YBFb3FlEomF38U7lqWhjxRk7t1EebivAA+YIz60yU55SQeukVXDCSQY3XDiX+FsGbgMfn3Q0Z
eZ19XZv3BY3tazmX/ZM92cb1/CG9MT5kOJqz65f+Q5wT4xw/91PdEkjUy5ec4zvHu4FBLfe3XTxi
ywuP2H2MiwkzPWLnDbZF6O6HgJytXBYV2LsgeDOK6mUy1h6lRaYdrTHVrZYf5EVzoKHQrZojc1Uf
easOicU/2S5oxQm7TVEp1d57s+qW7N7SkbVqmVitrNOcK+ctViY2TXgE0wsn4h2na8VJcNVEzas6
ql91UnHLisLKr6odgmVaipkdHM1VW0XEJC7RVW/laVIFr9PBQBfcOEMuBhYSED7ttvfMe3L9ShQY
XqkAxwdkHuX3WWyBcLHyaiVpLt2YvLP4J/s0t9vtEloNNMmRpLMkjanyJQClQ++nBguTyvxjWAz6
2UBjGLLtxbZP39dKt6rpqUDSdoe9SN5kHc9FBjXyuQEicVqYTyKumIs9Cq2F5qjJv+YBmDM4C086
mUJucaeSrnHOUNODGsdkCeqZ2OvkOmmrC/3b7vMaiXpVqfDGL2oCMzkNPFSDTXNfo/7ZEPgXQ3Zq
25mwRB8/5KkqaLqfjdZabKJUnVyAgXKGVkN6MTg5JRRu4Ax6oTnNYibYILqW4WvclizqWKB1M7N8
zyYOYw9MH2K2PJeLF9klCcSbBAunZrIFfNV5hb/IrrvmDvukFIYOfAYdexVAfsV/R3K8WFvTqwin
H5Ut1M4bOIOmKuW0VeuOg4g/uuxNWduU89m0lul+trX1yFm0jKpVQkJDifPZDxX/v/Nl/Czqoxfm
+cB3fVSEH8b9n2rn0WxUpdr02PgJGyYyUVkOG6FhVEyYFZ2ufoC7GrqnWbKLbif6WMV5dO3xfnBH
gfty1OIZYB6Hd4wdbNNWz6nayDjTJe7CaSJLwOqUsVyPFGvpWQuzVFuDACF2ykBNxEPRp3j//YyM
0Hm6H5a1KKnnZrpP41VXxERsul23lbesLsR1vXT0kjcEPHIg++uvw/5f889VoRi4vkUZ4/qC9uCf
WgmpZbQokQLj4KQel8SWS52eQ6QKbVSvkhzuQ3FNnu1oPNT2Qi03VSlva86GBT0Fpr6HxMH+G3mL
Qc4ejA2utmvz5xSUc0K8NCdcxwbnutEkgYHw00OSHSXSqCqC6TQmu2Rs1XGZK367Z0P8ApA1o3IO
OZ+8//WHXeNq/uQAEsj1Av6BuAWGxgp+8jiNAjO9gyCeeNaRuaaYp6Ej3rrAfKA81GIRrT1IqFPX
vkFjme/bng4DAkzqdjmp+wqAyX94R//uboSb4yC+CeAVfLzjHzo5hgf2fmC3Z2jJzBapjw/alkbS
c0djhi8BygDfnG137y5C2VMzUhXUmpRqVDBspFHXNWvlRDny129svew/eqVA+MCzIPPTxuxDt+mn
2wK/C2qwPsuPsSTLbFtJZsKfF3cZuhd3XpZ271aCQ7usUb77GxKGs8Nfv4F/c61cetZEQ+GeghS4
0jp+7HHp1LfkYvfJ0ZsENJa47pJsOwgrti8W7eCEmixuDpmTpclV38RLTdO3iy9J3VuPoTlYF/ww
FF9//a7+zdeCYMHxTKpbbF0/30C1M8SMw9zkWBtUSO3EIXk3ZaSDU7hAA2CmS4EwVAs1hDEmzetf
//aVivjzVeHX++s/VKrWz933eg4KDOcAdLy5pGOQW+2MhL5rwyrngqQzYrHF0aHzWCDzOllrlVq7
qC6vRrdt7E+uPzMUQmnTJ+mxXxtNTUsv/1sXe5T6NQC237+uf5Tx/0kZ7/o21+7/HgU99W/pj0Mg
Cof1Bf8aAq2THlylmC8sz/6Qv/zRf7ZWzhbUGOEB1xSh6bKefxfNwNZakVrMPP6n8bwOhkzTWenr
OF9Xjc3faDx/gOR/WBUgc2F5ZbmiR+NCIXHW+/OH1Uq2kvCNOZxvBJ0nEL4hp4V5X/nsiFXlOiew
jmvLIKGS6zy3e7fmOTtMaH8JhanVUbVaXtmNnG5zzi27j/5tOs/eLRCXjspEllNGHikjJBNW37Gq
fByS90Ywc5pFDD+Gwn1KMeJUzRGKAfKRRI8wDs0yNj6Jyh2rs1S5QqFiU7KF30jhYJs6alDx03iC
dGsRCxMH5FqeYZIi62lGvuQHo5YBgE6X3vQuyTUYBr5L1/kU0niLTH4t5XFj+ozQbdRy7PEzZ77K
pR/LQOkSV1V6aAN7YY5f+/FjXTFeXnrpHPlQkpCnwfii0yp7ZFSkOHJVaY462rv0k2pPC+RCcizj
4U1YpG8jz2dIDwwRsQ6C+UjIkcIwEtMS2PU5J03Eg1CxFHqyd1pTdl0xn1rpV+ArpkuaFDCwQFSs
jZfCSOYHY7YGcFk0cvNkH7uNZwcHG1j8cBh/R2xZZhJbq4KvIEZ9IvuCLK6bBrgOvoFN5dl2NZ4+
bvN/VoT/sCLQNfD/cjb1iSg2Wf+4Jvzxku9rAkkTnM+InrNxtkN0Ymv6vibYLhQqh+UCBi9Lwkr0
/b4m+L/QgyC0m9nvd43ddze89YsQ5ABir2Eng0Ql/s7SgO/jz3sT+CjH8wPPZm90mIDZP02Gi27g
xhxEdpsXgqqDHEgTBIpKCv+TiBsX04Hfqu6Am7UGWhMLpmQbGBN+VMSj1NMFzA8qkABQ/aYjw6h3
7tPfyW0eZ8/CjHyaieuAqjgmC0nYt33Zmu+V2SBx2AQdIRWRstIQE99gSfoEEmJEOB6kcJHepG1+
rvLa+uYkNY1lcmvCL4bN2X0CVXkOCrfdSJlwtu0xKINBjw8I0ZetQ8Ye0UCZJFXO8Ydh09LQLRCs
N8pjo3WNp8A0voRQ/tDp01tAQBUA4x+zE1HGOd1WNzsFozf8qulV7FyTNv8GeW16r4h9gi8up/kW
k3QsCF7QFbr9hk+8CYelD3cdgNOtMFOogwh/ePSTCJ2H/yVjmP3U4ZDLL55NA5rZWvApUyb26ZlH
m64hkelRH6REn8diEiQ6mXS4HwKv7+stV2J+iWdZg+sVQAbnKU4eQIjFYgNbiBT5mbd/yvw4vVr0
RIGeZZZ38N3JPCW4OXbCL3AbmtTQ1j6gOqZFRp7I51lNdK4Ap3dRGLAMG13N+NHwQLpDLllC1lId
DMBJ1jSyfMlYuwMCs5dt7nWd+khZfe0B9uP3VdxZkV2M1bQVZTptifYhCtik2iLUJP0WKOBHaZIV
xy5zh71OHH/rrXqmQabBXbu4dC1rKsytPfcSpTPgMKj5WC6r1rozPKF39Vj559gNQN0o5fnvmsiU
LUvecIGhRn5sOssqRQgwi9Dat7XRXJMWQBfLrAczaM7YH3XYIGhgwgn1hGYCcJYxhQjrFm0qTwsJ
ru7GdGhn1hvy5Ncaverca+RbMLU2NGBD1tbGcolYrha+vTtE0mtMvTUGD1VTZ0yPjEk0z6UaA4z0
knyGORXQJciVZggInmsVPNnYnc4ruUpcY51O36s2mBvqrwDvShnOJBKN7C0djfpJXjojzK5HfA9X
flzrN7vChrIpOg3VralBck3JnHrApexawaTyzfQ4w/iRdCTdEsuCNfdkjWDj7o+mqoJ9nWTZLR5j
qFdpO6IOk1BxebJxhK1D2JkwYyiRuJqbmHrlegGS3W5t8uYjmXI1t824hpeYtaGWTY5kJLn1a1rw
kaJLFdxMS6UvZeeZB0XjEoibk8CexriCxjBo6HEaQXYxAAON8BjjMqVNYfpUKGWoX2zw1Yce9BLG
cLO7X6Y+X+5o+301FlHzTJFLA3kTfj37r3Q6qFIt6vl9MuCQm8jSdDchfbvHZQltkEJxo+oD/5ER
G8qWvj+yEs0PYBEmebI90D9RhpbRP5RmamuoBIzvHNmob5Dyn7zBD6+dzOuWh7Gwcb/oIrVQ18Xz
tA0bw7pyus68Wcj4uHOp52qSqEVe7fKE1czD2UQ4TpsflskJz7lBthz4e2OarieLE1RAj2LZ8ptg
4IZxtyutZDV1cK3kPmmWfGsvrnNnwAqGujCk5RYjhX2FaEzsnDCnVjGydejmppP1CMM5Y+xb2lzn
wk3yL6oN8jdEmMaTo8rxtePopHZKui7PmjuNCP+wPVSWb/QnTH+MYem8dTsSSBJ1xV9wabAZ6zgC
fQX+io0fUgudXXrOCGNmtKcN3LG5dGl6onyN7M7H6e75KlldMs14NFoFPSuGzo0bmfEtk1dZNwNZ
GUC1H605cZ4ZC3+m2CG85vfZn6hN++iHOrjzvczaJj1d3d5O4UQIBgnMSBkQ4NMnexUL9nRfx517
KSt7GDEuBJV1o5WUNzTo/PwQttJ5afvpJSFZTGx67GjEXmdxSVNjNPsOhHRO/waAKsGZs9XdV0Q0
q4jQiSm5s6YxVrTb3XJe5mPlBH3AEARDTRKfaa/r8OKGhbX/5zz1X4ntqD/opfzfFdanonxjPXz7
84nq40V/nKiE+wuaHM7yGBYoa8hE/p8T1YcKz+c4g4J71czxf31X+awV1dqtoYtINfWDwodSjfRi
n5bJ+rq/J7PzOBv+WOlbJnEJAvsxzSobtcnP1mMFpK+efKs9u70BmdstAeCNPRCVPrzzUg4xJ08A
5t30COOQwCl/MJ6YEeZI43ybxtFkKFgeUVWJLD4YA9z4R/bX8gr2RJbf9n5NrJbKgldv8etzCtjs
qte5vRUGTR30All1hlyBlb4QRKSMeX2dN62BrCdt5A1DumY5VDOcMJyXUbKkdrOvGBSL1zGbnfBI
kBgNtb6d/ZdRT0z0ZhzQjEayFBoj6uWdg76O4M2kCbO3cY36G1AzVUepJJDfhjAj/5oeftone6Os
THeVW2fpRKAyXWY2h9T1w2AP02BpLmhn+bjp1KkA8e2cu/Gx7xgvTrtKtia0nRotI7lOJLoI2yM8
iYHjJbSJ+NPAMvk+200244Jso9gTJqzQcQzgLqSxZX7Vuuz0sivSzGPkQfvdYzBQs+sWUTWoxSDR
eGCcsyEYkWz5qYdGV7LnL60LriZv3CUq/DFhpIDO2U4D/Jb5IJf8nbnT3HmEDlTYM7EggMTZBLY7
Jge7mGJ1wQVhnEwNigVjXoyf23A4KrtID7u0xndnjIfEa2wgiP7AULIzl80Ief7OwgG590Uzv5HY
BaQG1U00F3OK/J8xJ2kTxTVhQ85Bdm51QukxHIp6bPtNW0t/QxruSo6biEJMQc1UtdyiN0o+ebao
ozEtp60PmX3r9p4D/TCRx24R8Z2qdPU5ro2eAwXL5GYxxuZTmftPhaySO4e5261Ox+AO4uj4ChF6
2mKWjM+qSae7tZnAcFxmz1gr4ltOHDN5Q41hR3oYRjIy7HirrSy4CFHEz2kzOccp9Y1PBm03EInK
EPsxUM517MflwUBztGwtwsbmZwb3Htbw0n9qfat+QMBRkPsdpwkTxrx1pohJdTBFkkbmqVYI+Tai
x6ZPtG5/0tOiDroskmcHH8yVWEhqIvXa04+0KqHVho0ipmAgsOAbLkEf+n2wMLCltqtxlMtlM9OE
uVXZgntde485VJguH1xn4zpTcG2hQkrIalhKdnw1jJ+Qe9lX5FjKo+sywOrzmWsNxlvdpaVfP6tu
qinWg+aLttPPVks+cl+G4ZkrXXF4g0Y+dw1p4QjZ7mK/S8810MPHBEfFy4BwoVpV6fbXXCrzylhq
Bqlt6wRnXU5i7+bNb6Ck4qPloWsnM4zpRBzkD6IIhxfTz8vPc7Fknx3dZ2uOYFh8bjmrkYHHE8bu
rw402O2dCHS/zxqy7SSRa9iMygMzPnJgRe2d9dTBZamJGG/gnAiDGFyIfIuHXpc938xu6zifIOM0
VA+keGLrtRh+pF44lZusN7qta7TzTuqBRNoYUwbfS0+SVZlGiWFC3O00pixRb8m/sp/dwHA+9YZ6
yhb1kDdG8D555CICW1kTL1BUBAyxOB09gjB3ryoEQ9dmD1LYz7t4G2TJSbhdcDNr2jJSDt3DQhjY
FrGP/OoPuGUbvchb6qTlC00s1XLKIcZCVLoh9y1xn5LU9SK/RY4PqxcOxLKI5AZe9PDaewSCkLcV
IVLEYlwAAY7ySZ2HrEnegFJmv5UaRXI3ttf2EOud5+tpm46D82IzDDo6RsDIcdJ6vrYnjr9u4etu
0wNg5YlzUxDiyJD2SloGw0UzpOZBdkifqbcYQq26jLHLkI6hljPR3pGbOx3ttJ/upV5HNUWinYex
j8Mvha44tQ3ZqpsJV6EJPCiABUbMyHmsvbcBQeUVZQiFGOUA6xwxYtNtYtUxmsUwhbqjXRQGqzpn
pj9/CZhpz5tkIEbacpjCMtqG2lSFjKGbGSmoQdrrhehYLD/ak1FvTl9b9rx7C+wpyPmYSpIzZZTk
sFwYjYsDc+Hp2uhXH1PYkBIhlfdNGu571rT2tQU+iMSwloSLUsAAZZrCQ07YFslv4Q20ieKaQCw/
p/j8mpqg9FqzlGgvpydpqgeyLuAXWyqNAAuTEM3JdJ+BqTuY2SLuWkvJneFDxYhcXF8o09NLWYzJ
HuRoDFxVWei/PTjCTEX3PO9fc9i+960NKT5tS/mYBPQ1rFQ1Z53DylUq9sobT4Lm8rp65HhrJkdD
T9hh/crvDy69yzvu3Gpbm0LfZgwL39uJuSumQqvk2OOGz4kfu2feIUwtUugi6UGfBv3qVbdVbHj7
0p7lySI6JjI5v2/nzsyuDZUEG7+uqY+Gadi6w9S/2grMWxlSfYxB8WvfWV/ytoHEwPZ4PeoqIe+k
0+mtG7a4bTtZbJn92REBBN03i+ye3WDNw0NOdNzuQwAlk7DYu0iNto4y4odstLqLbwb9QQvgH3OX
qU/wsxxrly+CcC/AbQhkVGqcNPqUzEVKUOsvdDLKX0muH/YJJp73Cqv0bl7IJ2PZ+5WO0G+qyLqT
Y7Ddm0EBt8rjf8VeIDYzUatH2IXmyWQOuUWcbO+R/lnXS2PkX0Ue0hYpU+OAT49IuS4u7/K+dBB7
5NmetIb2NHAg2Q0g+I5QVLo9jWKwHRB/D4WdjldZJUueowntQm8ZxtZEAhGRzjDuHNpPX3tPZxHv
/REMmhUNc+of9ehQIno3i6ubY+3SOaIDZO+l5X1tzeZuGEKODuCfIyJCDyzRBnGmxotFPtUmTQGs
ZcXCCaMk+K8w5SVo1F1gdgeaV4dFVySuEsa2hXFwH8JQohewJHvyLsINfix742c1ckeidTrwCvR+
yxunMox70U36UPqDOLpzjmLDqe5wa92icEj3fUULepHIsv1yxrY6QBTIivLQkTS07RfCiNxEwqUF
GXKoR2dhEQ6cT0aPxIi1PXjsXTs7LjnYLYYXv7Wxjx9whmmYUdZv0AV7bGRFyn7gDHfatsTXrJoR
ThjcfrIzjj5xHXe+QaSi6EnjpG1Gj0A0w2mCIAIVMgHrkC3huernuzLzfnXj4OmfWuq/qqUCjEZ/
VUvdp/L9t/936sq3+v1P9dTvL/zumrB+IeoFcwQEJnwJH1DWPzrUgfULsxkXdHQgOJpTNn3vTzOz
YhiD0QIxBmOlHyoqlx+H1G41S/zNsRUamD9XU8BF4cSaLkx0CKP4JX6a+7cqGVQlhCR3s6vpP6SS
Yw5rAzI5gcLI9l50NY43pLshkhqalzLx1gN4cLHlUHLYhxGxbTg081RUNfBu85lsmISdrGzzvaS0
3zLmcU4KqVTkzkawR+mg0b4HlwYb3saerNt80upNONWNr3kWDY1it4m3PbID5kiVx/GbJgcl2bfB
HLJLxfcYtUFDYkIt241phAtCHZuEKnO5ksL8/+yd2ZLcxtWtX+XEuYcDmZhPxH9Tc1XPzWKT4g2i
1RQxz2Pi6c+X1aJNNmny973tCEuW1EIXCsjcufda37p3RQfLvJ2edU+DaBBQz7Yi2aRPvnR5mm0K
umZbxGi3njXvJ4QWSNfLL0FW3uDPfgxnhzjzZNgh8YUxtNzbqboCPc1JJTWQiSbPqu6rTdUsLw5r
Sz6Kl8pzPzaq27EI5nTqYusDruBD0vpM/00EL1WnQ/MM/1b01kcYGs8e8p+dGU2PZpvd6DvQF4Mu
X/Ivaa0F2iQf7KxcccoogD0Omns9TuM5sqZHffRdA3CNjm0evNA5DfaAJQ5IY6+gLdFj1S4LY+q4
Maa5tp3kJLUgds7ms0vRMtX2x9jKTtGcP7dNinHTAZ9iUbm4dre1+UCTnXypenVv00zcKavfNUHd
rBBrYq4eAID2MRuepBaVFTdKxi2IKqftV8hK4m2SBf16MMYK2UECcdHQ9zIuntkNJzxpSAJ78h3W
+lq1zT9gNMv91Jn3vZz2gyZv+MjajdG8qr3KWI9Z/MXCmLZ1RHKTZfMVsBznQMifyzGBT1jZ6okI
P3ae3s0hnlrGJuu40Jj46SbGSXzdOumJo8xTa0PSQiJ9LkxnM6tyWpdxC92xSp5LNEvbXM4vfrVc
jTJK1mncJkTfeB+T2fzTb6y7ABIoTjkSMGR/WBxE1aQdnZfGOeBdISyitQ4ReG7mBj6pBz0QxWFY
rtDlx4wi+T5JNbEYq/IkgBzhSCkLCxm/+VRG4iXgEIHDpKVdEeUnarVz0w5ne86/FHTW16Tskqpd
zGcrFDEc0b6mgqnQ+7tGvBYioeLT912ULidB+2PVlOkOhRdmfNtj1+Ln+Jy0AICITJb7EUGpYjfh
cTQEjn0K5U9kBAZrsLFqQ2EyPlj4Vzb5HIVUjJTtKujHA/3z8dRUznjsiAc8zqMBXjFW+RaOeHHH
GEDtzJjgHmZJ3VoaufXSi+6TGlv3WvgIiHhqqoTMj5YTbLoJ8M5vvGyZnkOvAjvJ+T93QQs15VNW
hk/FzMl9s+CGT7AcxGtytm/tMvvEyWlcZ3NOWoSr1ouVbOpetVsq31hsWtelgE0wGZz8qmf67TW3
/PB9WRHXSs/5qTKoKZEPU44NzvNcqvalLOXAW5nG29wl3MWDuVAvgbsr2JQZkVThvehJMadHQVpB
Kl8qUdXoSQrGIHDh3FmKneWxQfNbhCvmUiFZVYLgFLTbd7bpDftZ8tCpzPvoGe7tIJvpGI7tF2Nq
r2w3O32z6dy/6gz+TzkU9xUMje5//u+bCSOreCCxuGK7u3TYLuqYb9QHCYlOAxFKHJUZCK7QNPZ6
vHGbOA2NdOH+RurDpvRtB+5ytYANzcLkChfkLS06sKehdBW21YhXfQOl9CRzC/0xhe9vrvRWVMTn
ov1IIYsojeHuZff65nNNnjdbKe72g+yz50Cjb/VyDNqI9JWOudyRPzNf+8Yv8/+L/qp+ci8ZCb/9
dBZcRaKBNPqEP/L3v7lmZJVB7JPpd1C9E8PMH8/VzIsNwe0wGSDD9OfFuXUFOyj+zce13mreLp83
QHWhtXgCldn310YLOC2p8stDB1J6k3IoBCoFBoPl4op+enYwg/ll6uZxl03jeErHjveW4PhVG6uX
mElYVC5XQ4QSjuiCQxAUxprAy630p6sJez1JQBAaaFPAjEtvgKVhDBkf5yJ6Mp0YdeFs3w7MWddz
VQV7x6nqPyJODmvbZ3n49QP7k0fIAlEpsUoLE7XEm5G4zJOgqKRNUpLsdnZl3pvBcg9WpfnNHcU+
+uO3aQOppLTCZ4oL9fs7GkyCITTQp0MUYNPs8CwqjhFbM2cRLpn+bNCP3vSRKB7yUd17vVk8kEJB
xPcSfWlG1mVdqkBAgEUm56vIIMM9mIazEbi3VjvuY5/l3qmTghlv7CJ7k0xIHKn2RSRr9G+K9Gmz
7R7LbH6aW7b9QSb2qU/8gryKHsNYmXwB5ESMR5bzLc5+tUeE8yWslic/GnZL37F519YBAdsBi0qy
jorlYue8Is0kX8thuQceZ2HO5N8N3PdT60Br8AQ11q+/sJ+sMHT2NYTehEqEiuH7+7hwGGls/GOH
ZcKmQzkxs7LRaQWoM1mHX1+LCvuHN9Ax2adImfAC562+sZUqQU6vSoT/4yPI7FMB2+U3l/jJyoK5
SdpMK0DtyIue65u3HOJ31uemifU+GGuYOTMglXB50Ss9sR8KWBxwG2kfAkPeTmEQb8FXnGivfujS
9E+fJv0KBVBLTkhqHcjhZJMNWJ1qVdzADPmyuBPh4CGz+NxyGeU6FqYb/KHXeeJuCf167/f8Zbfz
o6OtEoDHeMJWQlggv4Km3slWxisraOR+mIFHmjL54tArXDVJdjPOGZh8Br9gZihQxUT1Cz6/LBE4
MIh7rEoZb4kqe0VX/NtV0f7JG8t3gQqaEArTth35/QNQyhqmtSrKgwARuhrRba0TMotXEjvEjYi5
AwnlFqlZ/m3huABsutZkdF/cMWh+8hnx0ygqkSWEy8T0EP0Xov+PU1pbG7zYNFhH9zbEj7YeQuc2
xiNIg5GVqEaDvvFS9WTK6WXpzFXiJe8QnlNVNXzg1pj3WWw+KQqxVR3G9d7Kpz3E7cfIcYdVSgd7
ZdcsfJ07QnM0SIkswjzYS2d5Cup2fMUL/Nub9JOXhD1D/0eQ9infSpYh6Xl5P42wWvEvUOKgmp/4
dWxzWIV19JtvhPSHH98THdXBsobH2//hnWxsSyEOHspDC1sI8DTJb36YnkJ2qgDa5xpAAz1lxQGJ
9OJ+laZUgFGOW4ICcKhCd1WV5B4khEihXiFiMdFN5FL5f3aZuKbdcJcH5GPFAdX+XFbWxqq7lyJd
HudcXRWe3ox5zCIrew4nXaXCIoJue9MMcN/nSq4pV7fQY/xdz1d6OV6iQbE2TIzkOmizE61yfqKe
xl0dDv0qX/r4OOPXvRyCwnImIAfW16nELZj0HCT9LAJX03DUc5bp3PYRXhs7wI88nmUm7rF+niyL
ak2gjcAcAHGYPzEK/ko46geyHkiOtttuq1+jbnZIoJzOLkPxVe5kBu9TbazzhmoJgNDNTMt1Q2Op
27aG87FJHV6xPmyuA2d+aXsyPPGjICpJbhIyftEhUoojJ/6YxiPOYNuFvOQcQAacYO6flqLRci9e
4L7PTxyK9wUswVUSjTyYvB3u1N/kwvkUE7V8yoRDY3rcWLJVa30wYuqS7CdY8Vfku9+CAvooQe38
Zj92f/J6U+sAnSNolifKfLNPkkKVNsjuikPnqRcC1R47k31v5JgVOrzWuv66HLUrDY/qAyq9yztf
xv0OYu60IkH+pWwKawPHH8YrGYP+2FreJu8jjKrSL7fBPKhDLjqDA1pGnllkJ1sg7dELjIDgBk9X
vFki9kVaXGizqYnXi2fdSoM1Ju3V02hRbpmtVSMATYb1HJEwnvtU1hEHQ6KuY4t4tBTOA3KT4dxj
QV+1Ejkq4YqEo+U34zA82g426yp3523SEu7RTMtVEU8wBGAJFcLAZVGpF7db6l2Le8njdEDIons7
solwyBzOFnJdXc333tf99b/qz9+oP5HqC561f69WeFcNP00b/fsHvyoWkIDaNMocDgwOuTK6zvuq
ATW1LhzHBM4mCGQXZMnXHpvzj8DGiO9DDKE61N23rxJQ+Q/b16AT18IVdUGp/wfqcGm9abOZAf8K
zjCCcpcTOaX997tnYBLxFYaNcWXbYnxArVpsF7t1jkW+ZFuvHroN/nz5aOXuuPcre9mKUQVHX/jQ
37JqOiv0egijUArhzfZ5Ks3RgQ2elmvcySRlEGC/xbvwGFEr2vQgEE21NNxsbNNDdj/h/F5lU8RQ
gYY9ZPZ0Zn/Wa2ehUxLsDKVRY+fyXV8iGq9rCYmHZe3WnsbujHQT96UHggzwaP7ZNNBG+tZ7jiNf
rBqNAGjHBxWg/E5JHtk3k2OXKysdisckXYYTpAdiRDwUGqu5KbI93fFkk+blfK0ALh6LaEbalS79
yW7DYNd3g7UGv7q4QO9M87Z1DTmvJluFm3GeSVvyZoiwK2WW6rDgpduatR0y7myca7P1D2jOHmuT
0CKLVeqmyMRVGc4FuxHzY4DCpN3HANPxp4a7HpPymgem2vqlaIl/zuggInVg1tqu+bKKq6W3s53n
GB76WAa4YRWCM7O9ejfLCMDbXILpZ06FzSXLl3eNUzabScVPAVPu97Qt3eNse+MfpajkKu4aGAnK
qsLbulXS3ELkTVpAZ2THmFdjGVrLO6iRGVSkZKp84wVkDDhdVP+DsewGUt+QSpZVt6wJgcSNbWDk
71doWvBhWaV/G0Q4pEmvY4AP3xxK376QXXtgvZ/3XlGW7DV4ie7mouzxDPRmjyDWKOJ+5S+dNdJ6
SpxraNtA1gTR11sjW+giEPJZQMgf7OzWUEhZDfbSGbbaHnnd0hK+83c6XPYaFse/qCM6rn4NkgNY
37vEykki5trlEjcXdFWi0+faHivC9BASDr4vm8r3IiDeyzhOuyBEBLns7aVue+YxSir3PX6Hznxn
jAo5Mq7iNC/wMETFMMsdYF+fHGjQhRU2hpspwSbY7MgFLAn4yE3xAWf//DAxwiyg9JUYpsntTas1
BgDEs8IhS9eAAKmBE6PxFGcOeSRy8RiU9m4x30BBZLhdBs1nZ4kaVIXoZB5LxmT1mpWkAceMLfkp
JH27uDVSJcW6QFcIDX1yxx3d0ylcQ9+mQ4QLsjypVMSHqiSBFf2DFa0JolTv2jDGtcDEbv6QJXnA
LL5xrU9NbMtNHhXRXROr5s5tEl9Ti9j4YqQse34B5JFmp5NEGnM7l/lySBQqW7dryycUnjh5vUbY
RBAqcCUrEQgYnJDzj7GPZd+vPYMKqus9lLw9ce2wGXqcT6AF+MqJLNWnlV4BV9DpMmbXPxLmXd43
fh3tvcZexWJ07oJ0jM5hzrZb57V0Vo0RLa+Orv9uiL/bEHEJcLb69xvi019tUZX9t9Mm7brjZ/41
bcIxaWFCMoWERKdz/r5OmyyEfTaGB9d+3dX4qX/thXqPklSBWtX3ZjPEWkEzDLQdUC16x/+JH+LN
6R5/FhzvAHMFZabH5Ev//W9O3r5A14+vmk6+z3GjiGN/Rdlmrb65Jz/p4v1wvncFDSZgJ4SdIEp8
W8+Gw9hIiyiAw5CC/F+NZoBQFiHzJw0KvS9cHKP50mif5tL/zoyo7/33DQwujkqHozK3zeNmf/8R
Y1hXBK75wSGyg4pNpO0m9i/BdR0ze0zRdzxHWLVwFpSJtekWlfw1G6wSW7d1rU3eCrRSA7CZfqTx
aDVGcxoyGO6dnzJOSHNSUek619suikAdd174WBCDtfn1DfzphyC3HZ0lZwIepDcnArO1azSAS3CA
ECC3s10tu8IAv5N4k3rfWCYyNJFBgjIKOvM4WjS9hjEW0DTtskiCGe26BBGGGQBKFZ7QIIAFOhK7
csR7ke18ODPnIhk4QCBEJjGiwCz+68/ww6GG78H33ACRqE+N/rbL2OGhH5Q3BSAX62nTmuDh0Wyr
vUft8usr/XDy11cCbkdOIwjIH/JwHAQdmNq40ghIhM4xBKPe9ZtT21vNg+lwRPz19d68REyFdYfB
81HU2jxkbyMppejKElUS14uS9oHVgWCDIfqd1fkn94+EH/oL+Ix9zJZvmn5By3JBxoVPgwEXs89d
q60gOWSdf/71x7mYpl/HGjr4iLuGRFiyoQKAZl34YVFI4Q0EE8/ggT4meAivY+8JeGaU4otTBYJ7
zpsueV9Vnz2qEQBfnQPxt1MRPhJjwjnOcZqHVmlEkjsC3qyFVnWNyP0OEVlnJ2KN1T7h2XwPuqpk
fLCYNsOndEK3akdcZK5tOJY+Qo1Out2HyV2Sw68/pHVpkn73KcFs0cVDuKwTSwPnzSkglGHOmLOd
DxNan1UBYOEICKw7Iu3PdhUEDWYo1RfYu+R26QQvHt70QM4ZWcxC53vVbXtbX0K/euK/GrwhHwRe
rVsnUPYnbyIljAJi24pJvhPM2aAsAAJZt4hAz9LMgl28EIrX69SxOCqJINJJZMiKBbv5J5az7OD2
pJVFg6R3oRPM2F1izJohUGKCOA4IFRWKKjLPMISKfWdV/hnJVnpMDdgEpWioKJsofIkFQ4MCQPOR
WDpy4ICRNKtRZ6wVPmlrY4gsqh6lzSAYF5Q7uMSy9QLdbIbK+anHRpXr9Db8N8adg2b3s0IUTKuV
lLcI99veCe20Q2mL4mrJandj6GQ4J7bMMwep4oMXxdmXWsQV4dRmAA4laGN0flOlfbRgoT56IMU2
ns6gc4IgP6Yqna9hN7t3rs6q6/1Es1qLZLojx7H5kxRkIF7E2+E9StcxgXeGTr4zqOWQ/SRUpV57
wpDLb40qHaVroEek5W0V1mDO5pLOaKTz9QyCy8FBX+v7uanylDJSp/F1OpdPkBXpgNpbMc7ETwaz
8RqPjXpvXCL9RGEut2IwkBYqXZWZ7C+w48kBZBbsHwnjsJ5bNK73ZOd15bHHmYtCorPOmb1Dls4T
ofMFh8ayniudOZjFEjxbPfvFShub3peqG9ZVhv4J0hAYep1dOBFiGMfWgwzJEGVtG4894LGVMuBq
Mm2SnwmXKBi8ivpBtflNEpL0C0SFJJwox3KmExTxD4GTNc1TLfEJmZFtQwSao3dlGt2Ekfsp1lmM
cd+bj6EgnzFt3Q+kpj9LDiybqe3StaHTHHtwYjurbcW1Nw8TmnVSH6txIf8R/uNqSIGMEdQFshEi
CksU3ipRXIRj1XxloOnfZwiF10pnTBo6bbLWuZM4IO01+a7gigCyjDxc4+Rt2IYyGCW+SwNzSkAq
RKRZtl1nXDlLVV33Ouuyhd79nCJagD7UeZwPlOOjpJVpfbdcwjJFJzjwKmEf43LOD0KnanoVr4tr
qAq5LV39hXOeRLVMXH3McLmPwzU5M+VLO9rRxxSI4WfX69RHa2ynU+H74zEbAwIIo9q+RgpXQ4XM
wjUym/E4CN4vQ2UITXOFAwhEt9cJIJaBtzQb0biAp8yowPOwzO/t0Sx3linjo5kh57PzigxERXM8
sGiLCbcprxOSD0iUL5hpoSW4TsuBFHtM6s0pqM1s41aD2hsuaVdNZ2akbY7qy9i3U3ULcDjfhDVF
wTIqEw63RBaEinGTROwcYgl1qM5Qb81xkls+cXvyXM7jEwggyOam4rRtdh+WYLLvJC/qrSKhddhk
IUZKpIHV+JdI2wnbo7lgwEvbl9gDT+RWifdEjG15XRIjdzZM6ou8qmOMqRPVyUjJh//IxAzPuXET
gsFsVgNDye1MUO1jHtnNxzS1sk1mLtMmMagLDadW+zwT1nECQr+rUeo+VX2XHxv8ap8XIzYPeQpI
LG35kAR1ksiQV+FpQWxyUMqqb614CU9eR8cWUCVuCXjlGXNcHbjTjnxyzBp3gQldzhksaGH9gvmV
eKG7xavDDtXyws/IIO8+QH/VUfQWvwkQVnM/jj0fiSSyaNVzXMbymqXOltaMcydYGNZL2SX7upfL
wQS1ug68ITxRqzg4Dd1gRR3ZnkaX51VYsfpCDTw+JaCHtlYlmxOuM5J9qG3kXuAG3WNacK4IITYe
FReA10FCPXhQD3yngx3yEygjRKrMpftH0wMQE9KYf2xNWFGtF4uPpu9cMUFI997YVPsulUx8qBet
K2c20SqzKIh2sIDfN/aujpsZLpN012OexrvKCmNIiMNZhNrr0PcJAq7J2cLAum/DEstuFkfjvq1H
Fe+5/V720qLBja/brmhwQSoUGwC+kFf3RWtuWpro4XVASF3NyqqIwMWPYse38yTnYvmvf/9/xZZm
qG5zwvz3B9YPz0TZl1H/vYf/7x/7+8xKY/QfDM0cnurXDi6l0df+LR7+V1u/Fjv+87gKB8RkfItm
0XEZR+pD7tferfMPjEvUx6gjOWDSYP5Pjqvf18C8IsgyaZGgwMQse4HEf3dcxezeDEY3uA8FCTTL
ukzm4QFLlg7vmJru0zc35ren1svFmB1qoUtgM5d+O2SNnNmG9dzbD7Gh6j8uWGRFH+6JUVqLRk+a
KDJMz34OxrT9TXX6/YH570ujD4WtorveGqH/7bE8MTIx95WwH8jI5NIBHqLtqCaooN7gijOgVpBg
uM0xQaBnpMz+9Sf//gClL4+NixOAH/hA3CgQv7884dPEgaS59ZDjTSBDxRhfWaUwWJNKX25mJ/wN
yUl+P0D9+6I8KgCiaMx7b09RZV2GQ4Tw/MGRpaTR7VtHWbggnGiHBE91zzHDTiwuPogBQEPcD/1n
t2ahzTE9WOuGDWgPyhfjSIeJINwuy2I/u77EZRI6oymuxgsHOkE6TpsdAnO8mfMSIPCv750+Nvzr
WPH6MVwaNtp2CbP07THNB2s0zF4sH6gReVYGhC5zPsBb8wkpPqOgrK7mjP3r11f9Xif191VRBLBr
aHVy8OYbcw1gorPTiodUjKDcLtQnr4y/mOncPOCAnx9JpRa3+A+gu10Ax7++/o8vJlgwzqUefA6e
m7fvyhgEJUSMWaCMhwyW6BdGBQPGmxF67q8v9WbSfvmsOGF5szjiayXRm15IqLy+NM1BPNj0NR6p
I6H2viLeQwsiPDgL+3k0Xf12mkWxfuXgQuBkmE2o6m++7p99cCTbrJY4dK0fnlppG1XQmCEVKJtp
s7ax81XXEo/CuLow8X792X/2kuiOIO8l/8USrFsR3/TrRA3g1rBG+dB2UIBLFUO6I56wuho0z7rA
Mnak9V9dwXbnKb/wdYuROn9Ny5tOM+zo6srQxOyocfSwxJT+dU9FuxU949Q4HikrcKfyljmom6dT
wBAg3/36Q7zBg12+QE/y/dHNcECNvJUvpXkUDr4KxENIoG6zWzzQzZfnZu6L+o+2RSgHJYF1TwEV
LHw0wTgqNEROBc0BVQ+ouQQWSo6/ZAH6JkKz++y35vz469/zJ6ugR/sDRDQSUST+bxouxiyHEQOT
eHAQXIG71rdZ1G39h9Ck64bO4G+ebL2Dfrd2wHnkqWbPpflr0tx9c8WiJ1yKCPvuYaqhCDvw5p9h
o+j/sTi0DdrJ1louUGqY8jCuzTGNiYycVPAuGXREqVWq/rNVUTtfyNimwUuQWDYLp34mLrcInAOb
F9mSwXU3etWVopV2DdLPPkqPD7SoofqNNOZVKPntkshmbfI9U2Lbks7fW3nX4meBB70xeoCGQQOg
VgsYbc9I7wi5Vf2hJABqApoxpv1GOtS3BH/igt0F8FPSFbowy1yruWbUlMpxy3nI28GWg/JBDwrz
TSkiZa3IiQ0XCBH4GQmGmIz3tVFE/cb0qqpdTRdwiB14MaNdafJmpB1UEbYADRhJtcXOr8sHfLXx
ld8V6TWHpep2TKmyNz6Op2GFLhrLE1y7OwHZ9sXMOrHJqQNQ3ePOrfn9xvizQrHgnnoVl5ukZ/8+
QXpG2dhYaX3fXKgo84WQgmvL3DgeNG0MbZ5RPw1lnk4bK/S8dwFSKk4zKTwiJBNjA/3BiQCQBLC+
2zXHNP9PJBrA38ui67PDgopdrpphsBkrNQwSj6Ev7GsZDdiB6zE8mbS+3qlpFMPaw7ndPqAQFJz9
nb50yN6UkHGLOKrre4/orXZN9GgcbvwUUloUD2y7Gc8IaU68che2fYNEI9pSGoC1Z1LFb6cjIbrA
pkwofWjelIB0RsaaXQBIMD+mvE6nEGjYPULenBBVAf7l2s9gBLIzi1iAqVleoTW0ayHY0HZrrunv
wLWJ1AVyUyezf6S9Q0gXpoYXOkZuRTZqbOJ8TNsNdpXotpV2u2sRqkN/o/sNYv8jvE8sFyNmbnw9
8k9IOxXo5qbbgzQId6DQqk8EjTofSbRlaubW8WcelPmviISufrXQlduYA18Pbaa+3OONd9CleOOa
B+vS7kAVNUPZJXp0hdD9s92Y7hpKbVSfIQolGaNkv8vsU1mi3Dp7I9wWcvrAAlfepvCI8mOqC2nE
d5FuMf6U/FHQiEDbBI/JwGEAY1m5BUorEdQfjXhkGgnMMi3bjWpU4e8MUxc/uLofqyzjTpfa62FG
9I5Z7Q37uYE1ApMoB35HezPM389GxzemQqITCg7Iw3ok/ANoTEVvN1E8lUABBJupzXgWqpvw6j8C
oq+hvNEzwOqcovQzGe1vpgAQNamoHV99NrJkJ3b0MHg+TsNFufZz6JB/GCUm9So2cFajYkLoHy7B
0wUR2i2xfaTTyMJjsw55MDq3RYthYdXwhvrQICz+9apxdKfKcqoryjoSGlyU1JkqqquszOS5QSXN
P6TzEfp+ZH1mOQtRj9lBEW0gsfNXokV3UAg1htFsapg+R1QmQL7DzWkhx+crjJX8E20s0lvit1li
Aoff6sKSDbxqfvwbn3PpRug1khrOvw5pQEFphwYbVn73uQn0rQxaW5w7FBMDBQe/bTEMKPU4VTN0
IX5ErgYnUfeNN/GnGVDM9u6Cp48iQmaGhW9ktKkMlWQMM4ol2EqJnuCSBmDlqU5WYXqDH1o34HX1
qCT3XtCTBTvP+5tyFB+7z0nFw4DqrfvMYIUIjgiDKf2l0Xm+WKWR93ef65zdtgmi5g9cvlS/c9Kp
x0uhsGQN2R9zmrvPcqa+v8RrtA2/DEHF6WcSpDx8oowMjlVjmLdYOg1Q/CHZvm2eVdc8Rnx3Uv+2
eMHYeDqdP6ORnWZqUoRXVRPgHsqI7Bi0MUpl0mi3ISmDz6i88DOPFX6XY9O1/OYjP0MyCYzA+box
WiC8lwJn0KVKtqT959fDj6X3ZAV1vtig2rUR2RhZA7Srdgeivx3lX8eFYz/HHjOLPdsOvyAtR6IA
fKOc0i18nPBPvClcvLy8QoIG+rwbYR5SBrHzQIiaHnx7IsorIEKHE4RPccf/DSLBBlzaDmtbpY8q
WVzQWlOCwoAJ6NHlm74tO8s78nGqK2s03MdEDQpodZzz245D0h5gOYvbXj+eTpmLWzNK2ZkynF3t
Nh0pV22fjuBNPeHkPhREwVClueCFVowtfGvLmI1fJoS8tUIcwz3rNY93HhPvnGa09re9DlR5TT7J
Y9rmuOq5pwh3+PyXRQCVOyzrBELYmlQcCF2KGJkGL8BV7erLFxNMbLDalGO9qP8gYhFrfcS3Srnf
HJrQ4ltNYChvcjZy7sNECRqUxN0YMaFFs4rc59ZHV58h8C+2MlmI7okc3vi27fhNLk+iPaeiu7rk
pDiCGn0rCD7EwR41UXcfzCHEKr/SX1Da4DzaSTIND7Dvg6ekX2bQRxxHOxxYsFRW0odVsJIkvr9T
Zuo8W2kqztLwOQMEKccQe/bFecLzTXtNKkEMUZgGdPGToP7DjVBPrRsxzfeXT8hORI3cuaxAbUUD
8XLgXSaj/mMBg3OGliLPCUs3ObIcac+088W5whRkbXtdpS2w+fLXivGybeIM54mqc8yXlh/z2Ren
RlcpGTmA3KN1PwycZPRdo5s2B3S8Rb5smB3x0rt8ikwHm9RDz/taxkwW86zktVqUBRKC3NXd0OUC
y3MXsRzhhU7WEpsI5qiuhYIS88jjrtL5PHESutZ2gth2UIlDuo+DGtN5nFsgLutysqGiGq3pPNOf
Y2Xhnw6eLnTtPB+Iemkqo9oGgT/lp2J0+WkGaLJ5RxN34hEJGZSssQCSlpJe1r5ZpsaeTA0WeUqR
SB/J7Z7zCqOI6upyA17XIn1wH1PJuqAXVvz/7DiXZzeMdGbO3NftYfYS9Sej+PDh8nzaICj2KY2A
PQF4dnbjDT6PiG9iB7TxKZziSJEE/vpAQH7xv9TemI3roh3bg5ECGMtV7TzT1gVKrZ8Kd850PogM
yaXR4UOiKYkXcnS3IeuMpFpDJBDYyxwGvWusk8baayRNCET24MAT/YGMqeDpQ3aP7dRmYrJXFEIt
YBgpboXNR+CRE2fmShWkiTzizfJID3iUHglqO4KJ5vshrYIny0rEHTNLeHDxwkNtAqAY1v3Eon1Z
AdETglyoQo+b3Yc6VikgExTdkjfx2ugNqFwxe1BQ7caeRaGK2jHcNYYP2L5ExoD/YUAxu7UaxXWj
WhH5o+zWXdUc1RAsKQo/J+JzkwgMpXJCrGhsQMLOhHNRC4GJE34yH/phLOM70aVmdQRGLm5bc+S3
cPyeK0RJxdNuCvIJzr0zUIRERhY8mRMRSyV4HD6vBzLCBij+bvDn4k5aDumDoUHkVNodHIiZK69l
ZSddLP0SWV218rR/z4IWkBHja/ECk8f4SHg9O5JKpmXd0/IMqFCU+5Sl5Po4Sc0XWjnTMoOVSq2d
WfqKVIGGNNd4nItjUtfpjWV3QqzZNYsjJ/v5UArSr9Z5XZc3YcXwN5hz6gVXh6tBHOYJazsJ83Ke
u948YckkhygNMQGtacxTUw02BlGiE/OjUUkN1Pf46po8nIx3USr5etqi5n+bQHCTLAd2Ph1A/NfW
1B6Y4LEuNSM1TqFLuib2iVyKiIRiUmIgXgOodzkoZzmr7GQFvKpB3DBKNVt+vXDxaDbJivoAFjG/
6XzZTMKYdRt6b5X9VVFjsrsENdk8eg8XBqlaIRaFaHU5GEZEd9V46VINme9Z0yp39kKoMXN7uERR
JTr/aaoDkuRmJ3gSJLB8lovyN66V2UfOYHyvpSvZP9uUzW0oIlarxU3k+cIcv6ybQZqxOAZsmNsL
aVnmut6sQ+L4iI6ASQ6JkTV6tus/LkF9Vc+61za8Qr3O50pCIzsZFfCoSK/MywIvas3ZLj5IB0CN
Pbpmd+XUA29cb0CXcLImuDZeK4yGHonBzlxkpW8fPW8xvSMHtrnXIvsBmunQ7pkuDbvcltLnrEKq
gZkt4uz7JN/xiVmV6PNwSzzYhPkqDIlt2l/SoVwEkWfEo2TuNBp+78y8D4sOOHotmR2z+OJGaGfp
khXmjomy529d1csdV47PcTvM73HSLtcx/qP39QC+quMNYXXmtLOQDi0Hb+W5hQnUxK6N+/bCh6Sc
hhVptRaknMgxXobacj6TLrL8lVNVfgFS3VFuTzmZYa4C3oRt8VpQlBFs7U8f8QNCoxwuZMoGp3Kz
bSomi441J7fY8P1NlLrJh6Luo3cuNf68HgoCTTLNu1S+o24Dqw7fxwYznwp+WrtxLmjMBFVCdL9c
kJkE8+FOQ+BKzjwJxe5/JYn/uwmPi7v4m0bWD/G9HzgTM+H5TpL4+jNfxztag++Ql+DSKkYCozET
X8c7QvC3dJ3yTw3+t4pEU/4TwqwDRb+OeExNaMaLqONlkUHhtPoP5PlvxFTo9IBp2OSPCgZKrKq6
R/ZNhxPenUicsJluh+Jz1OWbOP/zm7vxk7HO9w16+mpvLvCmVd7OVl7UMxfwU5cDLzry4DkZb5OA
wuQ3XflL2/tfnS/dwwN2zeQLGRUJdj+0EBX6g9zJbXGTOjk1aQ0cGLuCq1Z4nbPG+dSlc+S/QFb3
e3oZteyMZV1xkknKE10vcgU/083QouxogKEVePuwjfQLWA5/Jb7Jgnk9tEBL7Sva3csx74I0bCG4
M8J3aUyHZ9X0u1QmzqnrU0FSYEU4mErDpuzXDFlY+a2WIa0cXSgVoPusoN9QFTZx9q4JZDTScLJL
uoQbfglkCAnrCIqE4f9zd23LacNA9FeYvMMUm0v8kMx0QiYXCr0kbaZ9yShGBRVjp5IJkK/vWYEI
MuAwkR4y9Vtis14dr1a33bPBtaw/iu8LnGt0k/u/UyQogAB+Bm5FAabCbhux8J3mvPXcP66Pm7Nf
iNRAYcnqcIIym3kgwYfUBG19o9p+fO7+yaNR9WaGxXkjPQ+fhvcR9ltwmp7P7y/aiRTqQn/8/yaQ
edUQ6tTnmhPn65TLxTeOinG5Mr2K7mrygdvsbQ+VC6ps+qE4m6Y5aYBJW4H2HT3XOmfWKml9yyQk
LEcq6oCfHIVRrYntG9B244iVLqSLJyilu7pdjXCqjDOlFuhwdBonEZ/ihRsQ7QOhvH1LNMufsVrA
BnCoHaFyKeLc8qvYKoV/OgSFgowNFOrgyw+PkS8FB0oXzkULKGDmBL4FOuakC473faHQRGCeKwjt
WoBEMQQHRztBqNejGs6EKRp+mdK7fOE7MgV8PTqxdjKF4LiG6k3EwrD80gTrpikcUx4cjqQCGmfp
Qod5X6YAiuKt8hF73MLeDtEIahEKXzVg9OtWbqLQbtYwbUFmLIou6QsD+KEoHGAway97NhLJQPtX
wdUuN7zvAeNZtu+vvApFWWNys54l6QcpE2X57hf3e2qBpD3fxk3jCTd/vmrg9qt3KmX+eSm4ZIjT
W+jmLlZq9tkEXvpjwh6YzU8NRwXLe9Hk5MjSc6MXvCJYjZmRQ5igig1OPJ3lgrQ2S23BEblpd8Fj
liqmjCStMuap5u+duURrh1AGxRlLQOQlU2FpvfSrrlpjvphJNsiMlqQ1QorQadwlpymPcxFPrUER
LCEYolyFd3jCZkxyI4nUBjmeB7DNQF7JflcAznTyYMOOyDcPVojYVikG1vdcDRGuyFzwTA5tlYmR
CZMjV8mXQFwII0ebd6gztF0FXw3AcW/JbbTrHlzIFc6J0kzYPRJhQR7s7yodgG/O/n4IzcAQ7wxG
NiuIRSSPu9jutm9C0KKH/tJFg6fxeGFU1HbRAsrmH2/3e58yxOVvwQwCIA+20UPNUct7UMqkB517
DAUriwSjHzAvc4ejx5Ri8WiqeJ5bNg2SgoYPSEQ8EkNmL+MwtfYwFvQExgKV5ZZlI0CXWHdcOwzq
EYNgGwWiHi3fFCBGypP0bCqLor0ojszggg8J6qDtcoekzx8kQitstAOksfkQ/cTscQs7UrQL5/oZ
+3xWuWSTRwU2BatjQn7kofeQ/GsuFV8YXclTYUVC/B4+lO/xuYitYQzCadHnQ/jPTI6NpJXetJJy
Fo0SzaPKGZMZRkrbXMIWRdb6eUGHjYt9P2xRcKqr+M8jYSPegLV4EFtSdWc/FfVBc/n9BRIdBX/h
aaqQ/MMKywTEIAUeBofXyLMdtb/RzEG7DJG4gzx80uULtg3RUBM56n8L9LlS3PJcKDIbePCMt3xu
ryrD5b6ia+fZV73XEYoSzgtXyQIrm4J5h82QKBtcsSjPe3LU+46rvPJjl/LYqfKwGLkTKs6QM2jN
3MKWjqR2Bmb/cWEpKrt2mtab89v7T2bTfdfP7M01eiJOOJOn/wAAAP//</cx:binary>
              </cx:geoCache>
            </cx:geography>
          </cx:layoutPr>
        </cx:series>
      </cx:plotAreaRegion>
    </cx:plotArea>
    <cx:legend pos="r" align="min" overlay="0"/>
  </cx:chart>
  <cx:spPr>
    <a:noFill/>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pn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219808</xdr:colOff>
      <xdr:row>41</xdr:row>
      <xdr:rowOff>146539</xdr:rowOff>
    </xdr:to>
    <xdr:sp macro="" textlink="">
      <xdr:nvSpPr>
        <xdr:cNvPr id="2" name="Rectangle: Rounded Corners 1">
          <a:extLst>
            <a:ext uri="{FF2B5EF4-FFF2-40B4-BE49-F238E27FC236}">
              <a16:creationId xmlns:a16="http://schemas.microsoft.com/office/drawing/2014/main" id="{7271232E-7C3B-A571-A601-34E6146A26A8}"/>
            </a:ext>
          </a:extLst>
        </xdr:cNvPr>
        <xdr:cNvSpPr/>
      </xdr:nvSpPr>
      <xdr:spPr>
        <a:xfrm>
          <a:off x="0" y="0"/>
          <a:ext cx="16070385" cy="815730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89</a:t>
          </a:r>
        </a:p>
      </xdr:txBody>
    </xdr:sp>
    <xdr:clientData/>
  </xdr:twoCellAnchor>
  <xdr:twoCellAnchor>
    <xdr:from>
      <xdr:col>0</xdr:col>
      <xdr:colOff>497241</xdr:colOff>
      <xdr:row>0</xdr:row>
      <xdr:rowOff>0</xdr:rowOff>
    </xdr:from>
    <xdr:to>
      <xdr:col>3</xdr:col>
      <xdr:colOff>284714</xdr:colOff>
      <xdr:row>36</xdr:row>
      <xdr:rowOff>62119</xdr:rowOff>
    </xdr:to>
    <xdr:sp macro="" textlink="">
      <xdr:nvSpPr>
        <xdr:cNvPr id="3" name="Rectangle: Rounded Corners 2">
          <a:extLst>
            <a:ext uri="{FF2B5EF4-FFF2-40B4-BE49-F238E27FC236}">
              <a16:creationId xmlns:a16="http://schemas.microsoft.com/office/drawing/2014/main" id="{B0E6E144-2C24-8E58-A42E-07205D8B5AF0}"/>
            </a:ext>
          </a:extLst>
        </xdr:cNvPr>
        <xdr:cNvSpPr/>
      </xdr:nvSpPr>
      <xdr:spPr>
        <a:xfrm rot="5400000">
          <a:off x="-2241140" y="2738381"/>
          <a:ext cx="7095965" cy="161920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248479</xdr:colOff>
      <xdr:row>0</xdr:row>
      <xdr:rowOff>144946</xdr:rowOff>
    </xdr:from>
    <xdr:to>
      <xdr:col>24</xdr:col>
      <xdr:colOff>41414</xdr:colOff>
      <xdr:row>5</xdr:row>
      <xdr:rowOff>41153</xdr:rowOff>
    </xdr:to>
    <xdr:sp macro="" textlink="">
      <xdr:nvSpPr>
        <xdr:cNvPr id="4" name="Rectangle: Rounded Corners 3">
          <a:extLst>
            <a:ext uri="{FF2B5EF4-FFF2-40B4-BE49-F238E27FC236}">
              <a16:creationId xmlns:a16="http://schemas.microsoft.com/office/drawing/2014/main" id="{9452EC29-2314-F737-132B-DE1D9C0CD330}"/>
            </a:ext>
          </a:extLst>
        </xdr:cNvPr>
        <xdr:cNvSpPr/>
      </xdr:nvSpPr>
      <xdr:spPr>
        <a:xfrm>
          <a:off x="2081006" y="144946"/>
          <a:ext cx="12599919" cy="828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279539</xdr:colOff>
      <xdr:row>5</xdr:row>
      <xdr:rowOff>155298</xdr:rowOff>
    </xdr:from>
    <xdr:to>
      <xdr:col>7</xdr:col>
      <xdr:colOff>212169</xdr:colOff>
      <xdr:row>10</xdr:row>
      <xdr:rowOff>159504</xdr:rowOff>
    </xdr:to>
    <xdr:sp macro="" textlink="">
      <xdr:nvSpPr>
        <xdr:cNvPr id="5" name="Rectangle: Rounded Corners 4">
          <a:extLst>
            <a:ext uri="{FF2B5EF4-FFF2-40B4-BE49-F238E27FC236}">
              <a16:creationId xmlns:a16="http://schemas.microsoft.com/office/drawing/2014/main" id="{85B90421-965C-3FEA-5D7A-D87F6322FFAC}"/>
            </a:ext>
          </a:extLst>
        </xdr:cNvPr>
        <xdr:cNvSpPr/>
      </xdr:nvSpPr>
      <xdr:spPr>
        <a:xfrm>
          <a:off x="2112066" y="1087091"/>
          <a:ext cx="2376000" cy="936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338759</xdr:colOff>
      <xdr:row>5</xdr:row>
      <xdr:rowOff>162753</xdr:rowOff>
    </xdr:from>
    <xdr:to>
      <xdr:col>11</xdr:col>
      <xdr:colOff>271390</xdr:colOff>
      <xdr:row>10</xdr:row>
      <xdr:rowOff>166959</xdr:rowOff>
    </xdr:to>
    <xdr:sp macro="" textlink="">
      <xdr:nvSpPr>
        <xdr:cNvPr id="6" name="Rectangle: Rounded Corners 5">
          <a:extLst>
            <a:ext uri="{FF2B5EF4-FFF2-40B4-BE49-F238E27FC236}">
              <a16:creationId xmlns:a16="http://schemas.microsoft.com/office/drawing/2014/main" id="{635EFEC1-7044-4102-8205-14714CA3F5D1}"/>
            </a:ext>
          </a:extLst>
        </xdr:cNvPr>
        <xdr:cNvSpPr/>
      </xdr:nvSpPr>
      <xdr:spPr>
        <a:xfrm>
          <a:off x="4614656" y="1094546"/>
          <a:ext cx="2376000" cy="936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429039</xdr:colOff>
      <xdr:row>5</xdr:row>
      <xdr:rowOff>159854</xdr:rowOff>
    </xdr:from>
    <xdr:to>
      <xdr:col>15</xdr:col>
      <xdr:colOff>361669</xdr:colOff>
      <xdr:row>10</xdr:row>
      <xdr:rowOff>164060</xdr:rowOff>
    </xdr:to>
    <xdr:sp macro="" textlink="">
      <xdr:nvSpPr>
        <xdr:cNvPr id="7" name="Rectangle: Rounded Corners 6">
          <a:extLst>
            <a:ext uri="{FF2B5EF4-FFF2-40B4-BE49-F238E27FC236}">
              <a16:creationId xmlns:a16="http://schemas.microsoft.com/office/drawing/2014/main" id="{626E4B5D-28C4-4010-8190-1CFA6D48C3CB}"/>
            </a:ext>
          </a:extLst>
        </xdr:cNvPr>
        <xdr:cNvSpPr/>
      </xdr:nvSpPr>
      <xdr:spPr>
        <a:xfrm>
          <a:off x="7148305" y="1091647"/>
          <a:ext cx="2355293" cy="936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498615</xdr:colOff>
      <xdr:row>5</xdr:row>
      <xdr:rowOff>136247</xdr:rowOff>
    </xdr:from>
    <xdr:to>
      <xdr:col>19</xdr:col>
      <xdr:colOff>476251</xdr:colOff>
      <xdr:row>10</xdr:row>
      <xdr:rowOff>140453</xdr:rowOff>
    </xdr:to>
    <xdr:sp macro="" textlink="">
      <xdr:nvSpPr>
        <xdr:cNvPr id="8" name="Rectangle: Rounded Corners 7">
          <a:extLst>
            <a:ext uri="{FF2B5EF4-FFF2-40B4-BE49-F238E27FC236}">
              <a16:creationId xmlns:a16="http://schemas.microsoft.com/office/drawing/2014/main" id="{0502985E-BDBD-42D9-897F-7B2C0EB9C2B8}"/>
            </a:ext>
          </a:extLst>
        </xdr:cNvPr>
        <xdr:cNvSpPr/>
      </xdr:nvSpPr>
      <xdr:spPr>
        <a:xfrm>
          <a:off x="9640544" y="1068040"/>
          <a:ext cx="2421006" cy="936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600490</xdr:colOff>
      <xdr:row>5</xdr:row>
      <xdr:rowOff>122996</xdr:rowOff>
    </xdr:from>
    <xdr:to>
      <xdr:col>23</xdr:col>
      <xdr:colOff>496957</xdr:colOff>
      <xdr:row>10</xdr:row>
      <xdr:rowOff>127202</xdr:rowOff>
    </xdr:to>
    <xdr:sp macro="" textlink="">
      <xdr:nvSpPr>
        <xdr:cNvPr id="9" name="Rectangle: Rounded Corners 8">
          <a:extLst>
            <a:ext uri="{FF2B5EF4-FFF2-40B4-BE49-F238E27FC236}">
              <a16:creationId xmlns:a16="http://schemas.microsoft.com/office/drawing/2014/main" id="{37B10956-D468-46D1-9FA4-DAA68D0DEA10}"/>
            </a:ext>
          </a:extLst>
        </xdr:cNvPr>
        <xdr:cNvSpPr/>
      </xdr:nvSpPr>
      <xdr:spPr>
        <a:xfrm>
          <a:off x="12185789" y="1054789"/>
          <a:ext cx="2339836" cy="936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320951</xdr:colOff>
      <xdr:row>1</xdr:row>
      <xdr:rowOff>62120</xdr:rowOff>
    </xdr:from>
    <xdr:to>
      <xdr:col>19</xdr:col>
      <xdr:colOff>289892</xdr:colOff>
      <xdr:row>4</xdr:row>
      <xdr:rowOff>31060</xdr:rowOff>
    </xdr:to>
    <xdr:pic macro="[0]!Picture21_Click">
      <xdr:nvPicPr>
        <xdr:cNvPr id="22" name="Picture 21">
          <a:extLst>
            <a:ext uri="{FF2B5EF4-FFF2-40B4-BE49-F238E27FC236}">
              <a16:creationId xmlns:a16="http://schemas.microsoft.com/office/drawing/2014/main" id="{86F31917-1E0E-1C22-54FA-D57620E4B0DA}"/>
            </a:ext>
          </a:extLst>
        </xdr:cNvPr>
        <xdr:cNvPicPr>
          <a:picLocks noChangeAspect="1"/>
        </xdr:cNvPicPr>
      </xdr:nvPicPr>
      <xdr:blipFill>
        <a:blip xmlns:r="http://schemas.openxmlformats.org/officeDocument/2006/relationships" r:embed="rId1"/>
        <a:stretch>
          <a:fillRect/>
        </a:stretch>
      </xdr:blipFill>
      <xdr:spPr>
        <a:xfrm>
          <a:off x="11295408" y="248479"/>
          <a:ext cx="579783" cy="528016"/>
        </a:xfrm>
        <a:prstGeom prst="rect">
          <a:avLst/>
        </a:prstGeom>
      </xdr:spPr>
    </xdr:pic>
    <xdr:clientData/>
  </xdr:twoCellAnchor>
  <xdr:twoCellAnchor editAs="oneCell">
    <xdr:from>
      <xdr:col>19</xdr:col>
      <xdr:colOff>403779</xdr:colOff>
      <xdr:row>1</xdr:row>
      <xdr:rowOff>93177</xdr:rowOff>
    </xdr:from>
    <xdr:to>
      <xdr:col>20</xdr:col>
      <xdr:colOff>320953</xdr:colOff>
      <xdr:row>4</xdr:row>
      <xdr:rowOff>31058</xdr:rowOff>
    </xdr:to>
    <xdr:pic macro="[0]!REFRESH">
      <xdr:nvPicPr>
        <xdr:cNvPr id="26" name="Picture 25">
          <a:extLst>
            <a:ext uri="{FF2B5EF4-FFF2-40B4-BE49-F238E27FC236}">
              <a16:creationId xmlns:a16="http://schemas.microsoft.com/office/drawing/2014/main" id="{74BF417C-FAA8-24A0-9066-5B18AC1131C3}"/>
            </a:ext>
          </a:extLst>
        </xdr:cNvPr>
        <xdr:cNvPicPr>
          <a:picLocks noChangeAspect="1"/>
        </xdr:cNvPicPr>
      </xdr:nvPicPr>
      <xdr:blipFill>
        <a:blip xmlns:r="http://schemas.openxmlformats.org/officeDocument/2006/relationships" r:embed="rId2"/>
        <a:stretch>
          <a:fillRect/>
        </a:stretch>
      </xdr:blipFill>
      <xdr:spPr>
        <a:xfrm>
          <a:off x="11989078" y="279536"/>
          <a:ext cx="528016" cy="496957"/>
        </a:xfrm>
        <a:prstGeom prst="rect">
          <a:avLst/>
        </a:prstGeom>
      </xdr:spPr>
    </xdr:pic>
    <xdr:clientData/>
  </xdr:twoCellAnchor>
  <xdr:twoCellAnchor editAs="oneCell">
    <xdr:from>
      <xdr:col>3</xdr:col>
      <xdr:colOff>393424</xdr:colOff>
      <xdr:row>1</xdr:row>
      <xdr:rowOff>62119</xdr:rowOff>
    </xdr:from>
    <xdr:to>
      <xdr:col>4</xdr:col>
      <xdr:colOff>548723</xdr:colOff>
      <xdr:row>5</xdr:row>
      <xdr:rowOff>62121</xdr:rowOff>
    </xdr:to>
    <xdr:pic>
      <xdr:nvPicPr>
        <xdr:cNvPr id="28" name="Picture 27">
          <a:extLst>
            <a:ext uri="{FF2B5EF4-FFF2-40B4-BE49-F238E27FC236}">
              <a16:creationId xmlns:a16="http://schemas.microsoft.com/office/drawing/2014/main" id="{8710896F-A545-8357-4FD3-8F6C5BAB3698}"/>
            </a:ext>
          </a:extLst>
        </xdr:cNvPr>
        <xdr:cNvPicPr>
          <a:picLocks noChangeAspect="1"/>
        </xdr:cNvPicPr>
      </xdr:nvPicPr>
      <xdr:blipFill>
        <a:blip xmlns:r="http://schemas.openxmlformats.org/officeDocument/2006/relationships" r:embed="rId3"/>
        <a:stretch>
          <a:fillRect/>
        </a:stretch>
      </xdr:blipFill>
      <xdr:spPr>
        <a:xfrm>
          <a:off x="2225951" y="248478"/>
          <a:ext cx="766142" cy="745436"/>
        </a:xfrm>
        <a:prstGeom prst="rect">
          <a:avLst/>
        </a:prstGeom>
      </xdr:spPr>
    </xdr:pic>
    <xdr:clientData/>
  </xdr:twoCellAnchor>
  <xdr:twoCellAnchor editAs="oneCell">
    <xdr:from>
      <xdr:col>1</xdr:col>
      <xdr:colOff>196712</xdr:colOff>
      <xdr:row>1</xdr:row>
      <xdr:rowOff>82826</xdr:rowOff>
    </xdr:from>
    <xdr:to>
      <xdr:col>2</xdr:col>
      <xdr:colOff>310597</xdr:colOff>
      <xdr:row>5</xdr:row>
      <xdr:rowOff>72474</xdr:rowOff>
    </xdr:to>
    <xdr:pic>
      <xdr:nvPicPr>
        <xdr:cNvPr id="30" name="Picture 29">
          <a:extLst>
            <a:ext uri="{FF2B5EF4-FFF2-40B4-BE49-F238E27FC236}">
              <a16:creationId xmlns:a16="http://schemas.microsoft.com/office/drawing/2014/main" id="{FA797175-ACB8-DFDB-6254-779F45E8A854}"/>
            </a:ext>
          </a:extLst>
        </xdr:cNvPr>
        <xdr:cNvPicPr>
          <a:picLocks noChangeAspect="1"/>
        </xdr:cNvPicPr>
      </xdr:nvPicPr>
      <xdr:blipFill>
        <a:blip xmlns:r="http://schemas.openxmlformats.org/officeDocument/2006/relationships" r:embed="rId4"/>
        <a:stretch>
          <a:fillRect/>
        </a:stretch>
      </xdr:blipFill>
      <xdr:spPr>
        <a:xfrm>
          <a:off x="807554" y="269185"/>
          <a:ext cx="724728" cy="735082"/>
        </a:xfrm>
        <a:prstGeom prst="rect">
          <a:avLst/>
        </a:prstGeom>
      </xdr:spPr>
    </xdr:pic>
    <xdr:clientData/>
  </xdr:twoCellAnchor>
  <xdr:twoCellAnchor editAs="oneCell">
    <xdr:from>
      <xdr:col>20</xdr:col>
      <xdr:colOff>455543</xdr:colOff>
      <xdr:row>0</xdr:row>
      <xdr:rowOff>165651</xdr:rowOff>
    </xdr:from>
    <xdr:to>
      <xdr:col>21</xdr:col>
      <xdr:colOff>486603</xdr:colOff>
      <xdr:row>4</xdr:row>
      <xdr:rowOff>82827</xdr:rowOff>
    </xdr:to>
    <xdr:pic>
      <xdr:nvPicPr>
        <xdr:cNvPr id="32" name="Picture 31">
          <a:extLst>
            <a:ext uri="{FF2B5EF4-FFF2-40B4-BE49-F238E27FC236}">
              <a16:creationId xmlns:a16="http://schemas.microsoft.com/office/drawing/2014/main" id="{A2BC7204-EF8F-10CC-B047-B47AD1C9D262}"/>
            </a:ext>
          </a:extLst>
        </xdr:cNvPr>
        <xdr:cNvPicPr>
          <a:picLocks noChangeAspect="1"/>
        </xdr:cNvPicPr>
      </xdr:nvPicPr>
      <xdr:blipFill>
        <a:blip xmlns:r="http://schemas.openxmlformats.org/officeDocument/2006/relationships" r:embed="rId5"/>
        <a:stretch>
          <a:fillRect/>
        </a:stretch>
      </xdr:blipFill>
      <xdr:spPr>
        <a:xfrm>
          <a:off x="12651684" y="165651"/>
          <a:ext cx="641903" cy="662611"/>
        </a:xfrm>
        <a:prstGeom prst="rect">
          <a:avLst/>
        </a:prstGeom>
      </xdr:spPr>
    </xdr:pic>
    <xdr:clientData/>
  </xdr:twoCellAnchor>
  <xdr:twoCellAnchor editAs="oneCell">
    <xdr:from>
      <xdr:col>11</xdr:col>
      <xdr:colOff>434838</xdr:colOff>
      <xdr:row>7</xdr:row>
      <xdr:rowOff>113885</xdr:rowOff>
    </xdr:from>
    <xdr:to>
      <xdr:col>12</xdr:col>
      <xdr:colOff>434838</xdr:colOff>
      <xdr:row>10</xdr:row>
      <xdr:rowOff>124238</xdr:rowOff>
    </xdr:to>
    <xdr:pic>
      <xdr:nvPicPr>
        <xdr:cNvPr id="34" name="Picture 33">
          <a:extLst>
            <a:ext uri="{FF2B5EF4-FFF2-40B4-BE49-F238E27FC236}">
              <a16:creationId xmlns:a16="http://schemas.microsoft.com/office/drawing/2014/main" id="{84DA5EBB-5812-E7F5-80D1-1DBEB9131422}"/>
            </a:ext>
          </a:extLst>
        </xdr:cNvPr>
        <xdr:cNvPicPr>
          <a:picLocks noChangeAspect="1"/>
        </xdr:cNvPicPr>
      </xdr:nvPicPr>
      <xdr:blipFill>
        <a:blip xmlns:r="http://schemas.openxmlformats.org/officeDocument/2006/relationships" r:embed="rId6"/>
        <a:stretch>
          <a:fillRect/>
        </a:stretch>
      </xdr:blipFill>
      <xdr:spPr>
        <a:xfrm>
          <a:off x="7154104" y="1418396"/>
          <a:ext cx="590136" cy="569429"/>
        </a:xfrm>
        <a:prstGeom prst="rect">
          <a:avLst/>
        </a:prstGeom>
      </xdr:spPr>
    </xdr:pic>
    <xdr:clientData/>
  </xdr:twoCellAnchor>
  <xdr:twoCellAnchor editAs="oneCell">
    <xdr:from>
      <xdr:col>15</xdr:col>
      <xdr:colOff>569430</xdr:colOff>
      <xdr:row>7</xdr:row>
      <xdr:rowOff>51766</xdr:rowOff>
    </xdr:from>
    <xdr:to>
      <xdr:col>16</xdr:col>
      <xdr:colOff>600488</xdr:colOff>
      <xdr:row>10</xdr:row>
      <xdr:rowOff>51768</xdr:rowOff>
    </xdr:to>
    <xdr:pic>
      <xdr:nvPicPr>
        <xdr:cNvPr id="37" name="Picture 36">
          <a:extLst>
            <a:ext uri="{FF2B5EF4-FFF2-40B4-BE49-F238E27FC236}">
              <a16:creationId xmlns:a16="http://schemas.microsoft.com/office/drawing/2014/main" id="{BB6317F3-C3C6-CF61-08C4-9779CD5383D6}"/>
            </a:ext>
          </a:extLst>
        </xdr:cNvPr>
        <xdr:cNvPicPr>
          <a:picLocks noChangeAspect="1"/>
        </xdr:cNvPicPr>
      </xdr:nvPicPr>
      <xdr:blipFill>
        <a:blip xmlns:r="http://schemas.openxmlformats.org/officeDocument/2006/relationships" r:embed="rId7"/>
        <a:stretch>
          <a:fillRect/>
        </a:stretch>
      </xdr:blipFill>
      <xdr:spPr>
        <a:xfrm>
          <a:off x="9732066" y="1356277"/>
          <a:ext cx="641901" cy="559078"/>
        </a:xfrm>
        <a:prstGeom prst="rect">
          <a:avLst/>
        </a:prstGeom>
      </xdr:spPr>
    </xdr:pic>
    <xdr:clientData/>
  </xdr:twoCellAnchor>
  <xdr:twoCellAnchor editAs="oneCell">
    <xdr:from>
      <xdr:col>20</xdr:col>
      <xdr:colOff>51765</xdr:colOff>
      <xdr:row>7</xdr:row>
      <xdr:rowOff>82825</xdr:rowOff>
    </xdr:from>
    <xdr:to>
      <xdr:col>21</xdr:col>
      <xdr:colOff>51766</xdr:colOff>
      <xdr:row>9</xdr:row>
      <xdr:rowOff>165652</xdr:rowOff>
    </xdr:to>
    <xdr:pic>
      <xdr:nvPicPr>
        <xdr:cNvPr id="41" name="Picture 40">
          <a:extLst>
            <a:ext uri="{FF2B5EF4-FFF2-40B4-BE49-F238E27FC236}">
              <a16:creationId xmlns:a16="http://schemas.microsoft.com/office/drawing/2014/main" id="{089D5B36-DB04-9862-160E-11C4397B88E3}"/>
            </a:ext>
          </a:extLst>
        </xdr:cNvPr>
        <xdr:cNvPicPr>
          <a:picLocks noChangeAspect="1"/>
        </xdr:cNvPicPr>
      </xdr:nvPicPr>
      <xdr:blipFill>
        <a:blip xmlns:r="http://schemas.openxmlformats.org/officeDocument/2006/relationships" r:embed="rId8"/>
        <a:stretch>
          <a:fillRect/>
        </a:stretch>
      </xdr:blipFill>
      <xdr:spPr>
        <a:xfrm>
          <a:off x="12247906" y="1387336"/>
          <a:ext cx="610844" cy="455544"/>
        </a:xfrm>
        <a:prstGeom prst="rect">
          <a:avLst/>
        </a:prstGeom>
      </xdr:spPr>
    </xdr:pic>
    <xdr:clientData/>
  </xdr:twoCellAnchor>
  <xdr:twoCellAnchor editAs="oneCell">
    <xdr:from>
      <xdr:col>3</xdr:col>
      <xdr:colOff>352011</xdr:colOff>
      <xdr:row>7</xdr:row>
      <xdr:rowOff>93178</xdr:rowOff>
    </xdr:from>
    <xdr:to>
      <xdr:col>4</xdr:col>
      <xdr:colOff>310598</xdr:colOff>
      <xdr:row>10</xdr:row>
      <xdr:rowOff>62119</xdr:rowOff>
    </xdr:to>
    <xdr:pic>
      <xdr:nvPicPr>
        <xdr:cNvPr id="43" name="Picture 42">
          <a:extLst>
            <a:ext uri="{FF2B5EF4-FFF2-40B4-BE49-F238E27FC236}">
              <a16:creationId xmlns:a16="http://schemas.microsoft.com/office/drawing/2014/main" id="{976FC13B-C542-65AB-66D3-1B8F88BD2A10}"/>
            </a:ext>
          </a:extLst>
        </xdr:cNvPr>
        <xdr:cNvPicPr>
          <a:picLocks noChangeAspect="1"/>
        </xdr:cNvPicPr>
      </xdr:nvPicPr>
      <xdr:blipFill>
        <a:blip xmlns:r="http://schemas.openxmlformats.org/officeDocument/2006/relationships" r:embed="rId9"/>
        <a:stretch>
          <a:fillRect/>
        </a:stretch>
      </xdr:blipFill>
      <xdr:spPr>
        <a:xfrm>
          <a:off x="2184538" y="1397689"/>
          <a:ext cx="569430" cy="528017"/>
        </a:xfrm>
        <a:prstGeom prst="rect">
          <a:avLst/>
        </a:prstGeom>
      </xdr:spPr>
    </xdr:pic>
    <xdr:clientData/>
  </xdr:twoCellAnchor>
  <xdr:twoCellAnchor>
    <xdr:from>
      <xdr:col>5</xdr:col>
      <xdr:colOff>279538</xdr:colOff>
      <xdr:row>1</xdr:row>
      <xdr:rowOff>103532</xdr:rowOff>
    </xdr:from>
    <xdr:to>
      <xdr:col>18</xdr:col>
      <xdr:colOff>248478</xdr:colOff>
      <xdr:row>4</xdr:row>
      <xdr:rowOff>72472</xdr:rowOff>
    </xdr:to>
    <xdr:sp macro="" textlink="">
      <xdr:nvSpPr>
        <xdr:cNvPr id="46" name="TextBox 45">
          <a:extLst>
            <a:ext uri="{FF2B5EF4-FFF2-40B4-BE49-F238E27FC236}">
              <a16:creationId xmlns:a16="http://schemas.microsoft.com/office/drawing/2014/main" id="{5E41C6EC-CFB1-F041-CFE1-63E04D537BE7}"/>
            </a:ext>
          </a:extLst>
        </xdr:cNvPr>
        <xdr:cNvSpPr txBox="1"/>
      </xdr:nvSpPr>
      <xdr:spPr>
        <a:xfrm>
          <a:off x="3333750" y="289891"/>
          <a:ext cx="7889185" cy="52801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latin typeface="Times New Roman" panose="02020603050405020304" pitchFamily="18" charset="0"/>
              <a:cs typeface="Times New Roman" panose="02020603050405020304" pitchFamily="18" charset="0"/>
            </a:rPr>
            <a:t>EMPLOYEE PERFORMANCE DASHBOARD</a:t>
          </a:r>
        </a:p>
      </xdr:txBody>
    </xdr:sp>
    <xdr:clientData/>
  </xdr:twoCellAnchor>
  <xdr:twoCellAnchor>
    <xdr:from>
      <xdr:col>22</xdr:col>
      <xdr:colOff>134592</xdr:colOff>
      <xdr:row>1</xdr:row>
      <xdr:rowOff>62119</xdr:rowOff>
    </xdr:from>
    <xdr:to>
      <xdr:col>23</xdr:col>
      <xdr:colOff>579783</xdr:colOff>
      <xdr:row>2</xdr:row>
      <xdr:rowOff>144946</xdr:rowOff>
    </xdr:to>
    <xdr:sp macro="" textlink="">
      <xdr:nvSpPr>
        <xdr:cNvPr id="47" name="TextBox 46">
          <a:extLst>
            <a:ext uri="{FF2B5EF4-FFF2-40B4-BE49-F238E27FC236}">
              <a16:creationId xmlns:a16="http://schemas.microsoft.com/office/drawing/2014/main" id="{45C235A3-EBDC-7D04-6395-AA645B95365D}"/>
            </a:ext>
          </a:extLst>
        </xdr:cNvPr>
        <xdr:cNvSpPr txBox="1"/>
      </xdr:nvSpPr>
      <xdr:spPr>
        <a:xfrm>
          <a:off x="13573125" y="248478"/>
          <a:ext cx="1056033" cy="26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Times New Roman" panose="02020603050405020304" pitchFamily="18" charset="0"/>
              <a:cs typeface="Times New Roman" panose="02020603050405020304" pitchFamily="18" charset="0"/>
            </a:rPr>
            <a:t>Data As On:</a:t>
          </a:r>
        </a:p>
      </xdr:txBody>
    </xdr:sp>
    <xdr:clientData/>
  </xdr:twoCellAnchor>
  <xdr:twoCellAnchor>
    <xdr:from>
      <xdr:col>22</xdr:col>
      <xdr:colOff>207065</xdr:colOff>
      <xdr:row>2</xdr:row>
      <xdr:rowOff>165653</xdr:rowOff>
    </xdr:from>
    <xdr:to>
      <xdr:col>23</xdr:col>
      <xdr:colOff>341923</xdr:colOff>
      <xdr:row>4</xdr:row>
      <xdr:rowOff>61057</xdr:rowOff>
    </xdr:to>
    <xdr:sp macro="" textlink="'Employee Performance Data'!A2">
      <xdr:nvSpPr>
        <xdr:cNvPr id="50" name="TextBox 49">
          <a:extLst>
            <a:ext uri="{FF2B5EF4-FFF2-40B4-BE49-F238E27FC236}">
              <a16:creationId xmlns:a16="http://schemas.microsoft.com/office/drawing/2014/main" id="{40521FAA-DCB2-DA31-9DCA-56AFAF4119B5}"/>
            </a:ext>
          </a:extLst>
        </xdr:cNvPr>
        <xdr:cNvSpPr txBox="1"/>
      </xdr:nvSpPr>
      <xdr:spPr>
        <a:xfrm>
          <a:off x="13615334" y="556422"/>
          <a:ext cx="745435" cy="2861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F241C5-2400-4AF6-8A19-E88873294AD5}" type="TxLink">
            <a:rPr lang="en-US" sz="1100" b="0" i="0" u="none" strike="noStrike">
              <a:solidFill>
                <a:srgbClr val="000000"/>
              </a:solidFill>
              <a:latin typeface="Calibri"/>
              <a:ea typeface="Calibri"/>
              <a:cs typeface="Calibri"/>
            </a:rPr>
            <a:pPr/>
            <a:t>01-Jan-26</a:t>
          </a:fld>
          <a:endParaRPr lang="en-US" sz="1100"/>
        </a:p>
      </xdr:txBody>
    </xdr:sp>
    <xdr:clientData/>
  </xdr:twoCellAnchor>
  <xdr:twoCellAnchor>
    <xdr:from>
      <xdr:col>4</xdr:col>
      <xdr:colOff>20706</xdr:colOff>
      <xdr:row>6</xdr:row>
      <xdr:rowOff>0</xdr:rowOff>
    </xdr:from>
    <xdr:to>
      <xdr:col>7</xdr:col>
      <xdr:colOff>10353</xdr:colOff>
      <xdr:row>7</xdr:row>
      <xdr:rowOff>20706</xdr:rowOff>
    </xdr:to>
    <xdr:sp macro="" textlink="">
      <xdr:nvSpPr>
        <xdr:cNvPr id="51" name="TextBox 50">
          <a:extLst>
            <a:ext uri="{FF2B5EF4-FFF2-40B4-BE49-F238E27FC236}">
              <a16:creationId xmlns:a16="http://schemas.microsoft.com/office/drawing/2014/main" id="{AD047F15-6C59-3271-65C2-01DC7FB98752}"/>
            </a:ext>
          </a:extLst>
        </xdr:cNvPr>
        <xdr:cNvSpPr txBox="1"/>
      </xdr:nvSpPr>
      <xdr:spPr>
        <a:xfrm>
          <a:off x="2464076" y="1118152"/>
          <a:ext cx="1822174" cy="20706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lumMod val="75000"/>
                  <a:lumOff val="25000"/>
                </a:schemeClr>
              </a:solidFill>
              <a:latin typeface="Times New Roman" panose="02020603050405020304" pitchFamily="18" charset="0"/>
              <a:cs typeface="Times New Roman" panose="02020603050405020304" pitchFamily="18" charset="0"/>
            </a:rPr>
            <a:t>TOTAL</a:t>
          </a:r>
          <a:r>
            <a:rPr lang="en-IN" sz="1100" b="1" baseline="0">
              <a:solidFill>
                <a:schemeClr val="tx2">
                  <a:lumMod val="75000"/>
                  <a:lumOff val="25000"/>
                </a:schemeClr>
              </a:solidFill>
              <a:latin typeface="Times New Roman" panose="02020603050405020304" pitchFamily="18" charset="0"/>
              <a:cs typeface="Times New Roman" panose="02020603050405020304" pitchFamily="18" charset="0"/>
            </a:rPr>
            <a:t> EMPLOYEES</a:t>
          </a:r>
          <a:endParaRPr lang="en-IN" sz="1100" b="1">
            <a:solidFill>
              <a:schemeClr val="tx2">
                <a:lumMod val="75000"/>
                <a:lumOff val="25000"/>
              </a:schemeClr>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310599</xdr:colOff>
      <xdr:row>5</xdr:row>
      <xdr:rowOff>144949</xdr:rowOff>
    </xdr:from>
    <xdr:to>
      <xdr:col>23</xdr:col>
      <xdr:colOff>289892</xdr:colOff>
      <xdr:row>6</xdr:row>
      <xdr:rowOff>165654</xdr:rowOff>
    </xdr:to>
    <xdr:sp macro="" textlink="">
      <xdr:nvSpPr>
        <xdr:cNvPr id="58" name="TextBox 57">
          <a:extLst>
            <a:ext uri="{FF2B5EF4-FFF2-40B4-BE49-F238E27FC236}">
              <a16:creationId xmlns:a16="http://schemas.microsoft.com/office/drawing/2014/main" id="{9BA85BE9-1F4C-4BBB-B8B0-7E99C51D11D3}"/>
            </a:ext>
          </a:extLst>
        </xdr:cNvPr>
        <xdr:cNvSpPr txBox="1"/>
      </xdr:nvSpPr>
      <xdr:spPr>
        <a:xfrm>
          <a:off x="12506740" y="1076742"/>
          <a:ext cx="1811820" cy="20706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lumMod val="50000"/>
                  <a:lumOff val="50000"/>
                </a:schemeClr>
              </a:solidFill>
              <a:latin typeface="Times New Roman" panose="02020603050405020304" pitchFamily="18" charset="0"/>
              <a:cs typeface="Times New Roman" panose="02020603050405020304" pitchFamily="18" charset="0"/>
            </a:rPr>
            <a:t>AVG.</a:t>
          </a:r>
          <a:r>
            <a:rPr lang="en-IN" sz="1100" b="1" baseline="0">
              <a:solidFill>
                <a:schemeClr val="tx2">
                  <a:lumMod val="50000"/>
                  <a:lumOff val="50000"/>
                </a:schemeClr>
              </a:solidFill>
              <a:latin typeface="Times New Roman" panose="02020603050405020304" pitchFamily="18" charset="0"/>
              <a:cs typeface="Times New Roman" panose="02020603050405020304" pitchFamily="18" charset="0"/>
            </a:rPr>
            <a:t> QUALITY SCORE</a:t>
          </a:r>
          <a:endParaRPr lang="en-IN" sz="1100" b="1">
            <a:solidFill>
              <a:schemeClr val="tx2">
                <a:lumMod val="50000"/>
                <a:lumOff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59223</xdr:colOff>
      <xdr:row>5</xdr:row>
      <xdr:rowOff>173107</xdr:rowOff>
    </xdr:from>
    <xdr:to>
      <xdr:col>11</xdr:col>
      <xdr:colOff>48870</xdr:colOff>
      <xdr:row>7</xdr:row>
      <xdr:rowOff>7454</xdr:rowOff>
    </xdr:to>
    <xdr:sp macro="" textlink="">
      <xdr:nvSpPr>
        <xdr:cNvPr id="60" name="TextBox 59">
          <a:extLst>
            <a:ext uri="{FF2B5EF4-FFF2-40B4-BE49-F238E27FC236}">
              <a16:creationId xmlns:a16="http://schemas.microsoft.com/office/drawing/2014/main" id="{17DC9F31-4AC9-4E8B-8AFE-1BDD9DD36787}"/>
            </a:ext>
          </a:extLst>
        </xdr:cNvPr>
        <xdr:cNvSpPr txBox="1"/>
      </xdr:nvSpPr>
      <xdr:spPr>
        <a:xfrm>
          <a:off x="4945962" y="1104900"/>
          <a:ext cx="1822174" cy="20706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solidFill>
              <a:latin typeface="Times New Roman" panose="02020603050405020304" pitchFamily="18" charset="0"/>
              <a:cs typeface="Times New Roman" panose="02020603050405020304" pitchFamily="18" charset="0"/>
            </a:rPr>
            <a:t>AVG.</a:t>
          </a:r>
          <a:r>
            <a:rPr lang="en-IN" sz="1100" b="1" baseline="0">
              <a:solidFill>
                <a:schemeClr val="accent6"/>
              </a:solidFill>
              <a:latin typeface="Times New Roman" panose="02020603050405020304" pitchFamily="18" charset="0"/>
              <a:cs typeface="Times New Roman" panose="02020603050405020304" pitchFamily="18" charset="0"/>
            </a:rPr>
            <a:t> PRODUCTIVITY</a:t>
          </a:r>
          <a:endParaRPr lang="en-IN" sz="1100" b="1">
            <a:solidFill>
              <a:schemeClr val="accent6"/>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149501</xdr:colOff>
      <xdr:row>5</xdr:row>
      <xdr:rowOff>180562</xdr:rowOff>
    </xdr:from>
    <xdr:to>
      <xdr:col>15</xdr:col>
      <xdr:colOff>139148</xdr:colOff>
      <xdr:row>7</xdr:row>
      <xdr:rowOff>14909</xdr:rowOff>
    </xdr:to>
    <xdr:sp macro="" textlink="">
      <xdr:nvSpPr>
        <xdr:cNvPr id="62" name="TextBox 61">
          <a:extLst>
            <a:ext uri="{FF2B5EF4-FFF2-40B4-BE49-F238E27FC236}">
              <a16:creationId xmlns:a16="http://schemas.microsoft.com/office/drawing/2014/main" id="{F6763B86-AA86-482D-A369-B2E9474276F5}"/>
            </a:ext>
          </a:extLst>
        </xdr:cNvPr>
        <xdr:cNvSpPr txBox="1"/>
      </xdr:nvSpPr>
      <xdr:spPr>
        <a:xfrm>
          <a:off x="7458903" y="1112355"/>
          <a:ext cx="1822174" cy="20706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7030A0"/>
              </a:solidFill>
              <a:latin typeface="Times New Roman" panose="02020603050405020304" pitchFamily="18" charset="0"/>
              <a:cs typeface="Times New Roman" panose="02020603050405020304" pitchFamily="18" charset="0"/>
            </a:rPr>
            <a:t>AVG.</a:t>
          </a:r>
          <a:r>
            <a:rPr lang="en-IN" sz="1100" b="1" baseline="0">
              <a:solidFill>
                <a:srgbClr val="7030A0"/>
              </a:solidFill>
              <a:latin typeface="Times New Roman" panose="02020603050405020304" pitchFamily="18" charset="0"/>
              <a:cs typeface="Times New Roman" panose="02020603050405020304" pitchFamily="18" charset="0"/>
            </a:rPr>
            <a:t> ACHIVEMENT</a:t>
          </a:r>
          <a:endParaRPr lang="en-IN" sz="1100" b="1">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94836</xdr:colOff>
      <xdr:row>5</xdr:row>
      <xdr:rowOff>125895</xdr:rowOff>
    </xdr:from>
    <xdr:to>
      <xdr:col>19</xdr:col>
      <xdr:colOff>155299</xdr:colOff>
      <xdr:row>6</xdr:row>
      <xdr:rowOff>144947</xdr:rowOff>
    </xdr:to>
    <xdr:sp macro="" textlink="">
      <xdr:nvSpPr>
        <xdr:cNvPr id="64" name="TextBox 63">
          <a:extLst>
            <a:ext uri="{FF2B5EF4-FFF2-40B4-BE49-F238E27FC236}">
              <a16:creationId xmlns:a16="http://schemas.microsoft.com/office/drawing/2014/main" id="{08DED48B-8659-403A-8300-B5F433F3CEF0}"/>
            </a:ext>
          </a:extLst>
        </xdr:cNvPr>
        <xdr:cNvSpPr txBox="1"/>
      </xdr:nvSpPr>
      <xdr:spPr>
        <a:xfrm>
          <a:off x="9847608" y="1057688"/>
          <a:ext cx="1892990" cy="20541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tx1"/>
              </a:solidFill>
              <a:latin typeface="Times New Roman" panose="02020603050405020304" pitchFamily="18" charset="0"/>
              <a:cs typeface="Times New Roman" panose="02020603050405020304" pitchFamily="18" charset="0"/>
            </a:rPr>
            <a:t> TOT.COMPLETED TASK </a:t>
          </a:r>
          <a:r>
            <a:rPr lang="en-IN" sz="1100" b="1" baseline="0">
              <a:solidFill>
                <a:schemeClr val="tx2">
                  <a:lumMod val="75000"/>
                  <a:lumOff val="25000"/>
                </a:schemeClr>
              </a:solidFill>
              <a:latin typeface="Times New Roman" panose="02020603050405020304" pitchFamily="18" charset="0"/>
              <a:cs typeface="Times New Roman" panose="02020603050405020304" pitchFamily="18" charset="0"/>
            </a:rPr>
            <a:t>TASK</a:t>
          </a:r>
          <a:endParaRPr lang="en-IN" sz="1100" b="1">
            <a:solidFill>
              <a:schemeClr val="tx2">
                <a:lumMod val="75000"/>
                <a:lumOff val="25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7</xdr:col>
      <xdr:colOff>424484</xdr:colOff>
      <xdr:row>7</xdr:row>
      <xdr:rowOff>72474</xdr:rowOff>
    </xdr:from>
    <xdr:to>
      <xdr:col>8</xdr:col>
      <xdr:colOff>445191</xdr:colOff>
      <xdr:row>10</xdr:row>
      <xdr:rowOff>103534</xdr:rowOff>
    </xdr:to>
    <xdr:pic>
      <xdr:nvPicPr>
        <xdr:cNvPr id="66" name="Picture 65">
          <a:extLst>
            <a:ext uri="{FF2B5EF4-FFF2-40B4-BE49-F238E27FC236}">
              <a16:creationId xmlns:a16="http://schemas.microsoft.com/office/drawing/2014/main" id="{AFB0BD03-66B0-9088-7312-7B2E4F34DD10}"/>
            </a:ext>
          </a:extLst>
        </xdr:cNvPr>
        <xdr:cNvPicPr>
          <a:picLocks noChangeAspect="1"/>
        </xdr:cNvPicPr>
      </xdr:nvPicPr>
      <xdr:blipFill>
        <a:blip xmlns:r="http://schemas.openxmlformats.org/officeDocument/2006/relationships" r:embed="rId10"/>
        <a:stretch>
          <a:fillRect/>
        </a:stretch>
      </xdr:blipFill>
      <xdr:spPr>
        <a:xfrm>
          <a:off x="4700381" y="1376985"/>
          <a:ext cx="631549" cy="590136"/>
        </a:xfrm>
        <a:prstGeom prst="rect">
          <a:avLst/>
        </a:prstGeom>
      </xdr:spPr>
    </xdr:pic>
    <xdr:clientData/>
  </xdr:twoCellAnchor>
  <xdr:twoCellAnchor>
    <xdr:from>
      <xdr:col>0</xdr:col>
      <xdr:colOff>476252</xdr:colOff>
      <xdr:row>5</xdr:row>
      <xdr:rowOff>134592</xdr:rowOff>
    </xdr:from>
    <xdr:to>
      <xdr:col>3</xdr:col>
      <xdr:colOff>62121</xdr:colOff>
      <xdr:row>7</xdr:row>
      <xdr:rowOff>134591</xdr:rowOff>
    </xdr:to>
    <xdr:sp macro="" textlink="">
      <xdr:nvSpPr>
        <xdr:cNvPr id="67" name="TextBox 66">
          <a:extLst>
            <a:ext uri="{FF2B5EF4-FFF2-40B4-BE49-F238E27FC236}">
              <a16:creationId xmlns:a16="http://schemas.microsoft.com/office/drawing/2014/main" id="{1D31FAB8-AA71-095A-CA46-55A98FD08E4F}"/>
            </a:ext>
          </a:extLst>
        </xdr:cNvPr>
        <xdr:cNvSpPr txBox="1"/>
      </xdr:nvSpPr>
      <xdr:spPr>
        <a:xfrm>
          <a:off x="476252" y="1066385"/>
          <a:ext cx="1418396" cy="372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effectLst>
                <a:glow rad="63500">
                  <a:schemeClr val="accent1">
                    <a:satMod val="175000"/>
                    <a:alpha val="40000"/>
                  </a:schemeClr>
                </a:glow>
              </a:effectLst>
            </a:rPr>
            <a:t>VEDAKARNA</a:t>
          </a:r>
        </a:p>
      </xdr:txBody>
    </xdr:sp>
    <xdr:clientData/>
  </xdr:twoCellAnchor>
  <xdr:twoCellAnchor>
    <xdr:from>
      <xdr:col>4</xdr:col>
      <xdr:colOff>434837</xdr:colOff>
      <xdr:row>7</xdr:row>
      <xdr:rowOff>62119</xdr:rowOff>
    </xdr:from>
    <xdr:to>
      <xdr:col>7</xdr:col>
      <xdr:colOff>0</xdr:colOff>
      <xdr:row>10</xdr:row>
      <xdr:rowOff>72472</xdr:rowOff>
    </xdr:to>
    <xdr:sp macro="" textlink="'Pivot Table'!B5">
      <xdr:nvSpPr>
        <xdr:cNvPr id="68" name="TextBox 67">
          <a:extLst>
            <a:ext uri="{FF2B5EF4-FFF2-40B4-BE49-F238E27FC236}">
              <a16:creationId xmlns:a16="http://schemas.microsoft.com/office/drawing/2014/main" id="{50303821-1A1B-E277-C742-10E88EAC3391}"/>
            </a:ext>
          </a:extLst>
        </xdr:cNvPr>
        <xdr:cNvSpPr txBox="1"/>
      </xdr:nvSpPr>
      <xdr:spPr>
        <a:xfrm>
          <a:off x="2878207" y="1366630"/>
          <a:ext cx="1397690" cy="5694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A62A01-718B-44ED-9558-E1ADC6D89C63}" type="TxLink">
            <a:rPr lang="en-US" sz="4000" b="0" i="0" u="none" strike="noStrike">
              <a:solidFill>
                <a:srgbClr val="0070C0"/>
              </a:solidFill>
              <a:latin typeface="Aptos Narrow"/>
            </a:rPr>
            <a:pPr/>
            <a:t>89</a:t>
          </a:fld>
          <a:endParaRPr lang="en-IN" sz="4000">
            <a:solidFill>
              <a:srgbClr val="0070C0"/>
            </a:solidFill>
          </a:endParaRPr>
        </a:p>
      </xdr:txBody>
    </xdr:sp>
    <xdr:clientData/>
  </xdr:twoCellAnchor>
  <xdr:twoCellAnchor>
    <xdr:from>
      <xdr:col>21</xdr:col>
      <xdr:colOff>100634</xdr:colOff>
      <xdr:row>6</xdr:row>
      <xdr:rowOff>173106</xdr:rowOff>
    </xdr:from>
    <xdr:to>
      <xdr:col>23</xdr:col>
      <xdr:colOff>276640</xdr:colOff>
      <xdr:row>9</xdr:row>
      <xdr:rowOff>183459</xdr:rowOff>
    </xdr:to>
    <xdr:sp macro="" textlink="'Pivot Table'!B9">
      <xdr:nvSpPr>
        <xdr:cNvPr id="69" name="TextBox 68">
          <a:extLst>
            <a:ext uri="{FF2B5EF4-FFF2-40B4-BE49-F238E27FC236}">
              <a16:creationId xmlns:a16="http://schemas.microsoft.com/office/drawing/2014/main" id="{0F0E1BB4-59F5-4CA7-9275-5090FB910336}"/>
            </a:ext>
          </a:extLst>
        </xdr:cNvPr>
        <xdr:cNvSpPr txBox="1"/>
      </xdr:nvSpPr>
      <xdr:spPr>
        <a:xfrm>
          <a:off x="12907618" y="1291258"/>
          <a:ext cx="1397690" cy="5694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34EE1D-1485-4397-809E-D3007BEA01B5}" type="TxLink">
            <a:rPr lang="en-US" sz="4000" b="0" i="0" u="none" strike="noStrike">
              <a:solidFill>
                <a:srgbClr val="00B0F0"/>
              </a:solidFill>
              <a:latin typeface="Aptos Narrow"/>
            </a:rPr>
            <a:pPr/>
            <a:t>88.8%</a:t>
          </a:fld>
          <a:endParaRPr lang="en-IN" sz="4000">
            <a:solidFill>
              <a:srgbClr val="00B0F0"/>
            </a:solidFill>
          </a:endParaRPr>
        </a:p>
      </xdr:txBody>
    </xdr:sp>
    <xdr:clientData/>
  </xdr:twoCellAnchor>
  <xdr:twoCellAnchor>
    <xdr:from>
      <xdr:col>17</xdr:col>
      <xdr:colOff>77029</xdr:colOff>
      <xdr:row>7</xdr:row>
      <xdr:rowOff>25261</xdr:rowOff>
    </xdr:from>
    <xdr:to>
      <xdr:col>19</xdr:col>
      <xdr:colOff>253034</xdr:colOff>
      <xdr:row>10</xdr:row>
      <xdr:rowOff>35614</xdr:rowOff>
    </xdr:to>
    <xdr:sp macro="" textlink="'Pivot Table'!B8">
      <xdr:nvSpPr>
        <xdr:cNvPr id="70" name="TextBox 69">
          <a:extLst>
            <a:ext uri="{FF2B5EF4-FFF2-40B4-BE49-F238E27FC236}">
              <a16:creationId xmlns:a16="http://schemas.microsoft.com/office/drawing/2014/main" id="{02162BF1-8F71-4D07-9F78-A209E11BEE16}"/>
            </a:ext>
          </a:extLst>
        </xdr:cNvPr>
        <xdr:cNvSpPr txBox="1"/>
      </xdr:nvSpPr>
      <xdr:spPr>
        <a:xfrm>
          <a:off x="10440643" y="1329772"/>
          <a:ext cx="1397690" cy="5694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CE3CD4-A4A5-4C4F-8AAC-CF3A00939E38}" type="TxLink">
            <a:rPr lang="en-US" sz="4000" b="0" i="0" u="none" strike="noStrike">
              <a:solidFill>
                <a:srgbClr val="000000"/>
              </a:solidFill>
              <a:latin typeface="Aptos Narrow"/>
            </a:rPr>
            <a:pPr/>
            <a:t>1177</a:t>
          </a:fld>
          <a:endParaRPr lang="en-IN" sz="4000">
            <a:solidFill>
              <a:srgbClr val="0070C0"/>
            </a:solidFill>
          </a:endParaRPr>
        </a:p>
      </xdr:txBody>
    </xdr:sp>
    <xdr:clientData/>
  </xdr:twoCellAnchor>
  <xdr:twoCellAnchor>
    <xdr:from>
      <xdr:col>12</xdr:col>
      <xdr:colOff>602146</xdr:colOff>
      <xdr:row>7</xdr:row>
      <xdr:rowOff>63775</xdr:rowOff>
    </xdr:from>
    <xdr:to>
      <xdr:col>15</xdr:col>
      <xdr:colOff>167309</xdr:colOff>
      <xdr:row>10</xdr:row>
      <xdr:rowOff>74128</xdr:rowOff>
    </xdr:to>
    <xdr:sp macro="" textlink="'Pivot Table'!B7">
      <xdr:nvSpPr>
        <xdr:cNvPr id="71" name="TextBox 70">
          <a:extLst>
            <a:ext uri="{FF2B5EF4-FFF2-40B4-BE49-F238E27FC236}">
              <a16:creationId xmlns:a16="http://schemas.microsoft.com/office/drawing/2014/main" id="{E637CF1F-C1ED-41BB-A1E4-E7397F4A63FF}"/>
            </a:ext>
          </a:extLst>
        </xdr:cNvPr>
        <xdr:cNvSpPr txBox="1"/>
      </xdr:nvSpPr>
      <xdr:spPr>
        <a:xfrm>
          <a:off x="7911548" y="1368286"/>
          <a:ext cx="1397690" cy="5694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F36236-48FA-42D8-B68D-9B8C813C5AAB}" type="TxLink">
            <a:rPr lang="en-US" sz="4000" b="0" i="0" u="none" strike="noStrike">
              <a:solidFill>
                <a:srgbClr val="7030A0"/>
              </a:solidFill>
              <a:latin typeface="Aptos Narrow"/>
            </a:rPr>
            <a:pPr/>
            <a:t>90.6%</a:t>
          </a:fld>
          <a:endParaRPr lang="en-US" sz="4000">
            <a:solidFill>
              <a:srgbClr val="7030A0"/>
            </a:solidFill>
          </a:endParaRPr>
        </a:p>
      </xdr:txBody>
    </xdr:sp>
    <xdr:clientData/>
  </xdr:twoCellAnchor>
  <xdr:twoCellAnchor>
    <xdr:from>
      <xdr:col>8</xdr:col>
      <xdr:colOff>526774</xdr:colOff>
      <xdr:row>7</xdr:row>
      <xdr:rowOff>50524</xdr:rowOff>
    </xdr:from>
    <xdr:to>
      <xdr:col>11</xdr:col>
      <xdr:colOff>91937</xdr:colOff>
      <xdr:row>10</xdr:row>
      <xdr:rowOff>60877</xdr:rowOff>
    </xdr:to>
    <xdr:sp macro="" textlink="'Pivot Table'!B6">
      <xdr:nvSpPr>
        <xdr:cNvPr id="72" name="TextBox 71">
          <a:extLst>
            <a:ext uri="{FF2B5EF4-FFF2-40B4-BE49-F238E27FC236}">
              <a16:creationId xmlns:a16="http://schemas.microsoft.com/office/drawing/2014/main" id="{6F48135B-652D-415B-AE42-65B056B831C0}"/>
            </a:ext>
          </a:extLst>
        </xdr:cNvPr>
        <xdr:cNvSpPr txBox="1"/>
      </xdr:nvSpPr>
      <xdr:spPr>
        <a:xfrm>
          <a:off x="5413513" y="1355035"/>
          <a:ext cx="1397690" cy="5694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7F0648-116B-4441-9C9D-4F80537FE217}" type="TxLink">
            <a:rPr lang="en-US" sz="4000" b="0" i="0" u="none" strike="noStrike">
              <a:solidFill>
                <a:srgbClr val="00B050"/>
              </a:solidFill>
              <a:latin typeface="Aptos Narrow"/>
            </a:rPr>
            <a:pPr/>
            <a:t>91.9%</a:t>
          </a:fld>
          <a:endParaRPr lang="en-US" sz="4000" b="0" i="0" u="none" strike="noStrike">
            <a:solidFill>
              <a:srgbClr val="00B050"/>
            </a:solidFill>
            <a:latin typeface="Aptos Narrow"/>
          </a:endParaRPr>
        </a:p>
      </xdr:txBody>
    </xdr:sp>
    <xdr:clientData/>
  </xdr:twoCellAnchor>
  <xdr:twoCellAnchor>
    <xdr:from>
      <xdr:col>3</xdr:col>
      <xdr:colOff>412272</xdr:colOff>
      <xdr:row>11</xdr:row>
      <xdr:rowOff>105391</xdr:rowOff>
    </xdr:from>
    <xdr:to>
      <xdr:col>11</xdr:col>
      <xdr:colOff>97533</xdr:colOff>
      <xdr:row>25</xdr:row>
      <xdr:rowOff>122116</xdr:rowOff>
    </xdr:to>
    <xdr:graphicFrame macro="">
      <xdr:nvGraphicFramePr>
        <xdr:cNvPr id="11" name="Chart 10">
          <a:extLst>
            <a:ext uri="{FF2B5EF4-FFF2-40B4-BE49-F238E27FC236}">
              <a16:creationId xmlns:a16="http://schemas.microsoft.com/office/drawing/2014/main" id="{03BB02F2-2202-43D4-8D95-8D72062B2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195384</xdr:colOff>
      <xdr:row>11</xdr:row>
      <xdr:rowOff>134326</xdr:rowOff>
    </xdr:from>
    <xdr:to>
      <xdr:col>17</xdr:col>
      <xdr:colOff>244230</xdr:colOff>
      <xdr:row>25</xdr:row>
      <xdr:rowOff>134327</xdr:rowOff>
    </xdr:to>
    <xdr:graphicFrame macro="">
      <xdr:nvGraphicFramePr>
        <xdr:cNvPr id="13" name="Chart 12">
          <a:extLst>
            <a:ext uri="{FF2B5EF4-FFF2-40B4-BE49-F238E27FC236}">
              <a16:creationId xmlns:a16="http://schemas.microsoft.com/office/drawing/2014/main" id="{B7CE6E5A-EA31-4A94-8051-32CC0295C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378558</xdr:colOff>
      <xdr:row>11</xdr:row>
      <xdr:rowOff>85481</xdr:rowOff>
    </xdr:from>
    <xdr:to>
      <xdr:col>25</xdr:col>
      <xdr:colOff>65943</xdr:colOff>
      <xdr:row>25</xdr:row>
      <xdr:rowOff>109905</xdr:rowOff>
    </xdr:to>
    <xdr:graphicFrame macro="">
      <xdr:nvGraphicFramePr>
        <xdr:cNvPr id="15" name="Chart 14">
          <a:extLst>
            <a:ext uri="{FF2B5EF4-FFF2-40B4-BE49-F238E27FC236}">
              <a16:creationId xmlns:a16="http://schemas.microsoft.com/office/drawing/2014/main" id="{D009DB99-FA26-4E35-8F9E-5C2083BE8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207597</xdr:colOff>
      <xdr:row>26</xdr:row>
      <xdr:rowOff>48847</xdr:rowOff>
    </xdr:from>
    <xdr:to>
      <xdr:col>17</xdr:col>
      <xdr:colOff>268654</xdr:colOff>
      <xdr:row>39</xdr:row>
      <xdr:rowOff>183172</xdr:rowOff>
    </xdr:to>
    <xdr:graphicFrame macro="">
      <xdr:nvGraphicFramePr>
        <xdr:cNvPr id="21" name="Chart 20">
          <a:extLst>
            <a:ext uri="{FF2B5EF4-FFF2-40B4-BE49-F238E27FC236}">
              <a16:creationId xmlns:a16="http://schemas.microsoft.com/office/drawing/2014/main" id="{16E0100F-01C0-4BAE-BF2E-23C861078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402981</xdr:colOff>
      <xdr:row>27</xdr:row>
      <xdr:rowOff>122115</xdr:rowOff>
    </xdr:from>
    <xdr:to>
      <xdr:col>16</xdr:col>
      <xdr:colOff>464038</xdr:colOff>
      <xdr:row>29</xdr:row>
      <xdr:rowOff>24423</xdr:rowOff>
    </xdr:to>
    <xdr:sp macro="" textlink="">
      <xdr:nvSpPr>
        <xdr:cNvPr id="24" name="TextBox 23">
          <a:extLst>
            <a:ext uri="{FF2B5EF4-FFF2-40B4-BE49-F238E27FC236}">
              <a16:creationId xmlns:a16="http://schemas.microsoft.com/office/drawing/2014/main" id="{7C718D21-1498-F022-500B-9234FF06DF5B}"/>
            </a:ext>
          </a:extLst>
        </xdr:cNvPr>
        <xdr:cNvSpPr txBox="1"/>
      </xdr:nvSpPr>
      <xdr:spPr>
        <a:xfrm>
          <a:off x="7705481" y="5397500"/>
          <a:ext cx="2503365" cy="293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TASK COMPLETION BY MONTH</a:t>
          </a:r>
        </a:p>
      </xdr:txBody>
    </xdr:sp>
    <xdr:clientData/>
  </xdr:twoCellAnchor>
  <xdr:twoCellAnchor>
    <xdr:from>
      <xdr:col>17</xdr:col>
      <xdr:colOff>378557</xdr:colOff>
      <xdr:row>26</xdr:row>
      <xdr:rowOff>73269</xdr:rowOff>
    </xdr:from>
    <xdr:to>
      <xdr:col>25</xdr:col>
      <xdr:colOff>24423</xdr:colOff>
      <xdr:row>39</xdr:row>
      <xdr:rowOff>183174</xdr:rowOff>
    </xdr:to>
    <xdr:graphicFrame macro="">
      <xdr:nvGraphicFramePr>
        <xdr:cNvPr id="27" name="Chart 26">
          <a:extLst>
            <a:ext uri="{FF2B5EF4-FFF2-40B4-BE49-F238E27FC236}">
              <a16:creationId xmlns:a16="http://schemas.microsoft.com/office/drawing/2014/main" id="{DB2F4D7F-4B83-4C10-B3BD-A5BDAD384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439616</xdr:colOff>
      <xdr:row>26</xdr:row>
      <xdr:rowOff>12212</xdr:rowOff>
    </xdr:from>
    <xdr:to>
      <xdr:col>11</xdr:col>
      <xdr:colOff>48846</xdr:colOff>
      <xdr:row>39</xdr:row>
      <xdr:rowOff>183173</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0AF2D8F6-8761-43E8-81F3-A12A63CD89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2268416" y="4965212"/>
              <a:ext cx="4486030" cy="26474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573943</xdr:colOff>
      <xdr:row>16</xdr:row>
      <xdr:rowOff>174942</xdr:rowOff>
    </xdr:from>
    <xdr:to>
      <xdr:col>3</xdr:col>
      <xdr:colOff>195385</xdr:colOff>
      <xdr:row>23</xdr:row>
      <xdr:rowOff>109904</xdr:rowOff>
    </xdr:to>
    <mc:AlternateContent xmlns:mc="http://schemas.openxmlformats.org/markup-compatibility/2006" xmlns:a14="http://schemas.microsoft.com/office/drawing/2010/main">
      <mc:Choice Requires="a14">
        <xdr:graphicFrame macro="">
          <xdr:nvGraphicFramePr>
            <xdr:cNvPr id="12" name="Performance Status">
              <a:extLst>
                <a:ext uri="{FF2B5EF4-FFF2-40B4-BE49-F238E27FC236}">
                  <a16:creationId xmlns:a16="http://schemas.microsoft.com/office/drawing/2014/main" id="{68FBE09E-27DC-432D-A5B3-94489544269A}"/>
                </a:ext>
              </a:extLst>
            </xdr:cNvPr>
            <xdr:cNvGraphicFramePr/>
          </xdr:nvGraphicFramePr>
          <xdr:xfrm>
            <a:off x="0" y="0"/>
            <a:ext cx="0" cy="0"/>
          </xdr:xfrm>
          <a:graphic>
            <a:graphicData uri="http://schemas.microsoft.com/office/drawing/2010/slicer">
              <sle:slicer xmlns:sle="http://schemas.microsoft.com/office/drawing/2010/slicer" name="Performance Status"/>
            </a:graphicData>
          </a:graphic>
        </xdr:graphicFrame>
      </mc:Choice>
      <mc:Fallback xmlns="">
        <xdr:sp macro="" textlink="">
          <xdr:nvSpPr>
            <xdr:cNvPr id="0" name=""/>
            <xdr:cNvSpPr>
              <a:spLocks noTextEdit="1"/>
            </xdr:cNvSpPr>
          </xdr:nvSpPr>
          <xdr:spPr>
            <a:xfrm>
              <a:off x="573943" y="3301096"/>
              <a:ext cx="1453173" cy="1302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573942</xdr:colOff>
      <xdr:row>8</xdr:row>
      <xdr:rowOff>3982</xdr:rowOff>
    </xdr:from>
    <xdr:to>
      <xdr:col>3</xdr:col>
      <xdr:colOff>195384</xdr:colOff>
      <xdr:row>16</xdr:row>
      <xdr:rowOff>61059</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E62DDD6D-8F5E-40DA-B518-27CAA62195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3942" y="1567059"/>
              <a:ext cx="1453173" cy="1620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598365</xdr:colOff>
      <xdr:row>24</xdr:row>
      <xdr:rowOff>14896</xdr:rowOff>
    </xdr:from>
    <xdr:to>
      <xdr:col>3</xdr:col>
      <xdr:colOff>183173</xdr:colOff>
      <xdr:row>34</xdr:row>
      <xdr:rowOff>48846</xdr:rowOff>
    </xdr:to>
    <mc:AlternateContent xmlns:mc="http://schemas.openxmlformats.org/markup-compatibility/2006" xmlns:a14="http://schemas.microsoft.com/office/drawing/2010/main">
      <mc:Choice Requires="a14">
        <xdr:graphicFrame macro="">
          <xdr:nvGraphicFramePr>
            <xdr:cNvPr id="18" name="Department">
              <a:extLst>
                <a:ext uri="{FF2B5EF4-FFF2-40B4-BE49-F238E27FC236}">
                  <a16:creationId xmlns:a16="http://schemas.microsoft.com/office/drawing/2014/main" id="{32D2E7EE-CBD7-4F94-98C3-3082B4CC8EB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98365" y="4704127"/>
              <a:ext cx="1416539" cy="1987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Survase" refreshedDate="46320.773435995368" createdVersion="8" refreshedVersion="8" minRefreshableVersion="3" recordCount="89" xr:uid="{3182AA6C-6D5D-4901-A17D-A18E960063CA}">
  <cacheSource type="worksheet">
    <worksheetSource name="Table1"/>
  </cacheSource>
  <cacheFields count="18">
    <cacheField name="Date" numFmtId="15">
      <sharedItems containsSemiMixedTypes="0" containsNonDate="0" containsDate="1" containsString="0" minDate="2026-01-01T00:00:00" maxDate="2026-07-19T00:00:00"/>
    </cacheField>
    <cacheField name="Month" numFmtId="0">
      <sharedItems count="7">
        <s v="Jan"/>
        <s v="Feb"/>
        <s v="Mar"/>
        <s v="Apr"/>
        <s v="May"/>
        <s v="Jun"/>
        <s v="Jul"/>
      </sharedItems>
    </cacheField>
    <cacheField name="Emp ID" numFmtId="0">
      <sharedItems count="20">
        <s v="EMP001"/>
        <s v="EMP002"/>
        <s v="EMP003"/>
        <s v="EMP004"/>
        <s v="EMP005"/>
        <s v="EMP006"/>
        <s v="EMP007"/>
        <s v="EMP008"/>
        <s v="EMP009"/>
        <s v="EMP010"/>
        <s v="EMP012"/>
        <s v="EMP013"/>
        <s v="EMP014"/>
        <s v="EMP015"/>
        <s v="EMP016"/>
        <s v="EMP017"/>
        <s v="EMP018"/>
        <s v="EMP020"/>
        <s v="EMP011"/>
        <s v="EMP019"/>
      </sharedItems>
    </cacheField>
    <cacheField name="Employee Name" numFmtId="0">
      <sharedItems count="20">
        <s v="James Smith"/>
        <s v="Mary Johnson"/>
        <s v="Robert Williams"/>
        <s v="Jennifer Brown"/>
        <s v="Michael Jones"/>
        <s v="Linda Garcia"/>
        <s v="David Miller"/>
        <s v="Sarah Davis"/>
        <s v="John Rodriguez"/>
        <s v="Emily Martinez"/>
        <s v="Jessica Lopez"/>
        <s v="Christopher Wilson"/>
        <s v="Amanda Anderson"/>
        <s v="Matthew Taylor"/>
        <s v="Ashley Thomas"/>
        <s v="Andrew Moore"/>
        <s v="Olivia Jackson"/>
        <s v="Sophia Lee"/>
        <s v="Daniel Hernandez"/>
        <s v="Joshua Martin"/>
      </sharedItems>
    </cacheField>
    <cacheField name="Department" numFmtId="0">
      <sharedItems count="6">
        <s v="Sales"/>
        <s v="Marketing"/>
        <s v="Finance"/>
        <s v="HR"/>
        <s v="Operations"/>
        <s v="IT"/>
      </sharedItems>
    </cacheField>
    <cacheField name="Region" numFmtId="0">
      <sharedItems count="4">
        <s v="California"/>
        <s v="Texas"/>
        <s v="Florida"/>
        <s v="New York"/>
      </sharedItems>
    </cacheField>
    <cacheField name="Working Days" numFmtId="0">
      <sharedItems containsSemiMixedTypes="0" containsString="0" containsNumber="1" containsInteger="1" minValue="20" maxValue="22"/>
    </cacheField>
    <cacheField name="Attendance Status" numFmtId="0">
      <sharedItems count="3">
        <s v="Present"/>
        <s v="Leave"/>
        <s v="Work From Home"/>
      </sharedItems>
    </cacheField>
    <cacheField name="Target Tasks" numFmtId="0">
      <sharedItems containsSemiMixedTypes="0" containsString="0" containsNumber="1" containsInteger="1" minValue="8" maxValue="20"/>
    </cacheField>
    <cacheField name="Completed Tasks" numFmtId="0">
      <sharedItems containsSemiMixedTypes="0" containsString="0" containsNumber="1" containsInteger="1" minValue="5" maxValue="23"/>
    </cacheField>
    <cacheField name="Pending Tasks" numFmtId="0">
      <sharedItems containsSemiMixedTypes="0" containsString="0" containsNumber="1" containsInteger="1" minValue="0" maxValue="70"/>
    </cacheField>
    <cacheField name="Target Hours" numFmtId="0">
      <sharedItems containsSemiMixedTypes="0" containsString="0" containsNumber="1" containsInteger="1" minValue="7" maxValue="9"/>
    </cacheField>
    <cacheField name="Actual Hours" numFmtId="0">
      <sharedItems containsSemiMixedTypes="0" containsString="0" containsNumber="1" minValue="5.0999999999999996" maxValue="11"/>
    </cacheField>
    <cacheField name="Overtime Hours" numFmtId="0">
      <sharedItems containsSemiMixedTypes="0" containsString="0" containsNumber="1" minValue="0" maxValue="2"/>
    </cacheField>
    <cacheField name="Productivity %" numFmtId="10">
      <sharedItems containsSemiMixedTypes="0" containsString="0" containsNumber="1" minValue="0.57399999999999995" maxValue="1"/>
    </cacheField>
    <cacheField name="Quality Score %" numFmtId="10">
      <sharedItems containsSemiMixedTypes="0" containsString="0" containsNumber="1" minValue="0.55400000000000005" maxValue="1"/>
    </cacheField>
    <cacheField name="Achievement %" numFmtId="10">
      <sharedItems containsSemiMixedTypes="0" containsString="0" containsNumber="1" minValue="0.60099999999999998" maxValue="1"/>
    </cacheField>
    <cacheField name="Performance Status" numFmtId="0">
      <sharedItems count="3">
        <s v="High Performer"/>
        <s v="On Track"/>
        <s v="Needs Improvement"/>
      </sharedItems>
    </cacheField>
  </cacheFields>
  <extLst>
    <ext xmlns:x14="http://schemas.microsoft.com/office/spreadsheetml/2009/9/main" uri="{725AE2AE-9491-48be-B2B4-4EB974FC3084}">
      <x14:pivotCacheDefinition pivotCacheId="36901152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d v="2026-01-01T00:00:00"/>
    <x v="0"/>
    <x v="0"/>
    <x v="0"/>
    <x v="0"/>
    <x v="0"/>
    <n v="22"/>
    <x v="0"/>
    <n v="8"/>
    <n v="10"/>
    <n v="0"/>
    <n v="8"/>
    <n v="8.5"/>
    <n v="0.5"/>
    <n v="1"/>
    <n v="0.91100000000000003"/>
    <n v="0.96399999999999997"/>
    <x v="0"/>
  </r>
  <r>
    <d v="2026-01-03T00:00:00"/>
    <x v="0"/>
    <x v="1"/>
    <x v="1"/>
    <x v="0"/>
    <x v="1"/>
    <n v="20"/>
    <x v="1"/>
    <n v="19"/>
    <n v="20"/>
    <n v="0"/>
    <n v="7"/>
    <n v="6.8"/>
    <n v="0"/>
    <n v="1"/>
    <n v="0.88700000000000001"/>
    <n v="0.95499999999999996"/>
    <x v="0"/>
  </r>
  <r>
    <d v="2026-01-05T00:00:00"/>
    <x v="0"/>
    <x v="2"/>
    <x v="2"/>
    <x v="1"/>
    <x v="2"/>
    <n v="20"/>
    <x v="0"/>
    <n v="11"/>
    <n v="12"/>
    <n v="0"/>
    <n v="9"/>
    <n v="9.6999999999999993"/>
    <n v="0.7"/>
    <n v="1"/>
    <n v="0.92400000000000004"/>
    <n v="0.97"/>
    <x v="0"/>
  </r>
  <r>
    <d v="2026-01-07T00:00:00"/>
    <x v="0"/>
    <x v="3"/>
    <x v="3"/>
    <x v="1"/>
    <x v="0"/>
    <n v="22"/>
    <x v="1"/>
    <n v="16"/>
    <n v="16"/>
    <n v="0"/>
    <n v="7"/>
    <n v="8.6999999999999993"/>
    <n v="1.7"/>
    <n v="0.99199999999999999"/>
    <n v="0.93300000000000005"/>
    <n v="0.96799999999999997"/>
    <x v="0"/>
  </r>
  <r>
    <d v="2026-01-09T00:00:00"/>
    <x v="0"/>
    <x v="4"/>
    <x v="4"/>
    <x v="2"/>
    <x v="3"/>
    <n v="20"/>
    <x v="0"/>
    <n v="19"/>
    <n v="19"/>
    <n v="0"/>
    <n v="8"/>
    <n v="7.7"/>
    <n v="0"/>
    <n v="0.96399999999999997"/>
    <n v="0.89100000000000001"/>
    <n v="0.93500000000000005"/>
    <x v="0"/>
  </r>
  <r>
    <d v="2026-01-11T00:00:00"/>
    <x v="0"/>
    <x v="5"/>
    <x v="5"/>
    <x v="2"/>
    <x v="1"/>
    <n v="21"/>
    <x v="0"/>
    <n v="9"/>
    <n v="9"/>
    <n v="10"/>
    <n v="7"/>
    <n v="6.7"/>
    <n v="0"/>
    <n v="0.97699999999999998"/>
    <n v="0.93300000000000005"/>
    <n v="0.95899999999999996"/>
    <x v="0"/>
  </r>
  <r>
    <d v="2026-01-13T00:00:00"/>
    <x v="0"/>
    <x v="6"/>
    <x v="6"/>
    <x v="3"/>
    <x v="2"/>
    <n v="21"/>
    <x v="0"/>
    <n v="19"/>
    <n v="19"/>
    <n v="0"/>
    <n v="9"/>
    <n v="10.7"/>
    <n v="1.7"/>
    <n v="0.94"/>
    <n v="1"/>
    <n v="0.96399999999999997"/>
    <x v="0"/>
  </r>
  <r>
    <d v="2026-01-15T00:00:00"/>
    <x v="0"/>
    <x v="7"/>
    <x v="7"/>
    <x v="3"/>
    <x v="0"/>
    <n v="20"/>
    <x v="2"/>
    <n v="12"/>
    <n v="15"/>
    <n v="0"/>
    <n v="9"/>
    <n v="9.8000000000000007"/>
    <n v="0.8"/>
    <n v="1"/>
    <n v="1"/>
    <n v="1"/>
    <x v="0"/>
  </r>
  <r>
    <d v="2026-01-17T00:00:00"/>
    <x v="0"/>
    <x v="8"/>
    <x v="8"/>
    <x v="4"/>
    <x v="3"/>
    <n v="22"/>
    <x v="0"/>
    <n v="19"/>
    <n v="16"/>
    <n v="30"/>
    <n v="7"/>
    <n v="6.5"/>
    <n v="0"/>
    <n v="0.86799999999999999"/>
    <n v="0.91800000000000004"/>
    <n v="0.88800000000000001"/>
    <x v="1"/>
  </r>
  <r>
    <d v="2026-01-19T00:00:00"/>
    <x v="0"/>
    <x v="9"/>
    <x v="9"/>
    <x v="4"/>
    <x v="2"/>
    <n v="20"/>
    <x v="0"/>
    <n v="9"/>
    <n v="9"/>
    <n v="40"/>
    <n v="8"/>
    <n v="8.6"/>
    <n v="0.6"/>
    <n v="0.99299999999999999"/>
    <n v="1"/>
    <n v="0.996"/>
    <x v="0"/>
  </r>
  <r>
    <d v="2026-01-23T00:00:00"/>
    <x v="0"/>
    <x v="10"/>
    <x v="10"/>
    <x v="5"/>
    <x v="0"/>
    <n v="22"/>
    <x v="0"/>
    <n v="17"/>
    <n v="19"/>
    <n v="0"/>
    <n v="7"/>
    <n v="6.5"/>
    <n v="0"/>
    <n v="1"/>
    <n v="0.93400000000000005"/>
    <n v="0.97399999999999998"/>
    <x v="0"/>
  </r>
  <r>
    <d v="2026-01-25T00:00:00"/>
    <x v="0"/>
    <x v="11"/>
    <x v="11"/>
    <x v="0"/>
    <x v="3"/>
    <n v="21"/>
    <x v="0"/>
    <n v="12"/>
    <n v="14"/>
    <n v="50"/>
    <n v="9"/>
    <n v="9.3000000000000007"/>
    <n v="0.3"/>
    <n v="1"/>
    <n v="1"/>
    <n v="1"/>
    <x v="0"/>
  </r>
  <r>
    <d v="2026-01-27T00:00:00"/>
    <x v="0"/>
    <x v="12"/>
    <x v="12"/>
    <x v="1"/>
    <x v="1"/>
    <n v="20"/>
    <x v="0"/>
    <n v="8"/>
    <n v="11"/>
    <n v="0"/>
    <n v="8"/>
    <n v="5.9"/>
    <n v="0"/>
    <n v="1"/>
    <n v="0.89500000000000002"/>
    <n v="0.95799999999999996"/>
    <x v="0"/>
  </r>
  <r>
    <d v="2026-01-29T00:00:00"/>
    <x v="0"/>
    <x v="13"/>
    <x v="13"/>
    <x v="2"/>
    <x v="2"/>
    <n v="22"/>
    <x v="1"/>
    <n v="13"/>
    <n v="11"/>
    <n v="2"/>
    <n v="9"/>
    <n v="7.1"/>
    <n v="0"/>
    <n v="0.84599999999999997"/>
    <n v="0.92100000000000004"/>
    <n v="0.876"/>
    <x v="1"/>
  </r>
  <r>
    <d v="2026-01-31T00:00:00"/>
    <x v="0"/>
    <x v="14"/>
    <x v="14"/>
    <x v="3"/>
    <x v="3"/>
    <n v="22"/>
    <x v="0"/>
    <n v="10"/>
    <n v="9"/>
    <n v="1"/>
    <n v="7"/>
    <n v="6.4"/>
    <n v="0"/>
    <n v="0.85899999999999999"/>
    <n v="0.86299999999999999"/>
    <n v="0.86099999999999999"/>
    <x v="1"/>
  </r>
  <r>
    <d v="2026-02-02T00:00:00"/>
    <x v="1"/>
    <x v="15"/>
    <x v="15"/>
    <x v="4"/>
    <x v="0"/>
    <n v="21"/>
    <x v="1"/>
    <n v="17"/>
    <n v="17"/>
    <n v="0"/>
    <n v="9"/>
    <n v="7.9"/>
    <n v="0"/>
    <n v="0.98399999999999999"/>
    <n v="0.91200000000000003"/>
    <n v="0.95499999999999996"/>
    <x v="0"/>
  </r>
  <r>
    <d v="2026-02-04T00:00:00"/>
    <x v="1"/>
    <x v="16"/>
    <x v="16"/>
    <x v="5"/>
    <x v="2"/>
    <n v="20"/>
    <x v="2"/>
    <n v="15"/>
    <n v="12"/>
    <n v="3"/>
    <n v="7"/>
    <n v="7.3"/>
    <n v="0.3"/>
    <n v="0.85799999999999998"/>
    <n v="0.77200000000000002"/>
    <n v="0.82399999999999995"/>
    <x v="1"/>
  </r>
  <r>
    <d v="2026-02-08T00:00:00"/>
    <x v="1"/>
    <x v="17"/>
    <x v="17"/>
    <x v="1"/>
    <x v="3"/>
    <n v="21"/>
    <x v="2"/>
    <n v="12"/>
    <n v="13"/>
    <n v="70"/>
    <n v="7"/>
    <n v="5.4"/>
    <n v="0"/>
    <n v="1"/>
    <n v="0.90500000000000003"/>
    <n v="0.96199999999999997"/>
    <x v="0"/>
  </r>
  <r>
    <d v="2026-02-10T00:00:00"/>
    <x v="1"/>
    <x v="0"/>
    <x v="0"/>
    <x v="0"/>
    <x v="0"/>
    <n v="22"/>
    <x v="0"/>
    <n v="20"/>
    <n v="22"/>
    <n v="0"/>
    <n v="8"/>
    <n v="9.6"/>
    <n v="1.6"/>
    <n v="1"/>
    <n v="0.97599999999999998"/>
    <n v="0.99"/>
    <x v="0"/>
  </r>
  <r>
    <d v="2026-02-12T00:00:00"/>
    <x v="1"/>
    <x v="1"/>
    <x v="1"/>
    <x v="0"/>
    <x v="1"/>
    <n v="21"/>
    <x v="0"/>
    <n v="19"/>
    <n v="21"/>
    <n v="0"/>
    <n v="8"/>
    <n v="7.8"/>
    <n v="0"/>
    <n v="1"/>
    <n v="1"/>
    <n v="1"/>
    <x v="0"/>
  </r>
  <r>
    <d v="2026-02-14T00:00:00"/>
    <x v="1"/>
    <x v="2"/>
    <x v="2"/>
    <x v="1"/>
    <x v="2"/>
    <n v="22"/>
    <x v="0"/>
    <n v="18"/>
    <n v="17"/>
    <n v="1"/>
    <n v="9"/>
    <n v="9.1"/>
    <n v="0.1"/>
    <n v="0.94599999999999995"/>
    <n v="0.87"/>
    <n v="0.91600000000000004"/>
    <x v="0"/>
  </r>
  <r>
    <d v="2026-02-16T00:00:00"/>
    <x v="1"/>
    <x v="3"/>
    <x v="3"/>
    <x v="1"/>
    <x v="0"/>
    <n v="21"/>
    <x v="0"/>
    <n v="16"/>
    <n v="19"/>
    <n v="0"/>
    <n v="9"/>
    <n v="7.4"/>
    <n v="0"/>
    <n v="1"/>
    <n v="1"/>
    <n v="1"/>
    <x v="0"/>
  </r>
  <r>
    <d v="2026-02-18T00:00:00"/>
    <x v="1"/>
    <x v="4"/>
    <x v="4"/>
    <x v="2"/>
    <x v="3"/>
    <n v="21"/>
    <x v="0"/>
    <n v="9"/>
    <n v="8"/>
    <n v="1"/>
    <n v="8"/>
    <n v="7.4"/>
    <n v="0"/>
    <n v="0.84699999999999998"/>
    <n v="0.78"/>
    <n v="0.82"/>
    <x v="1"/>
  </r>
  <r>
    <d v="2026-02-20T00:00:00"/>
    <x v="1"/>
    <x v="5"/>
    <x v="5"/>
    <x v="2"/>
    <x v="1"/>
    <n v="22"/>
    <x v="0"/>
    <n v="9"/>
    <n v="11"/>
    <n v="0"/>
    <n v="8"/>
    <n v="8.1"/>
    <n v="0.1"/>
    <n v="1"/>
    <n v="1"/>
    <n v="1"/>
    <x v="0"/>
  </r>
  <r>
    <d v="2026-02-22T00:00:00"/>
    <x v="1"/>
    <x v="6"/>
    <x v="6"/>
    <x v="3"/>
    <x v="2"/>
    <n v="22"/>
    <x v="0"/>
    <n v="10"/>
    <n v="12"/>
    <n v="0"/>
    <n v="8"/>
    <n v="6.7"/>
    <n v="0"/>
    <n v="1"/>
    <n v="0.91600000000000004"/>
    <n v="0.96599999999999997"/>
    <x v="0"/>
  </r>
  <r>
    <d v="2026-02-24T00:00:00"/>
    <x v="1"/>
    <x v="7"/>
    <x v="7"/>
    <x v="3"/>
    <x v="0"/>
    <n v="22"/>
    <x v="2"/>
    <n v="14"/>
    <n v="12"/>
    <n v="2"/>
    <n v="9"/>
    <n v="9.4"/>
    <n v="0.4"/>
    <n v="0.89800000000000002"/>
    <n v="0.93"/>
    <n v="0.91100000000000003"/>
    <x v="0"/>
  </r>
  <r>
    <d v="2026-02-28T00:00:00"/>
    <x v="1"/>
    <x v="9"/>
    <x v="9"/>
    <x v="4"/>
    <x v="2"/>
    <n v="21"/>
    <x v="0"/>
    <n v="11"/>
    <n v="9"/>
    <n v="2"/>
    <n v="7"/>
    <n v="6.7"/>
    <n v="0"/>
    <n v="0.79200000000000004"/>
    <n v="0.80100000000000005"/>
    <n v="0.79600000000000004"/>
    <x v="1"/>
  </r>
  <r>
    <d v="2026-03-02T00:00:00"/>
    <x v="2"/>
    <x v="18"/>
    <x v="18"/>
    <x v="5"/>
    <x v="1"/>
    <n v="20"/>
    <x v="2"/>
    <n v="11"/>
    <n v="8"/>
    <n v="3"/>
    <n v="7"/>
    <n v="6.3"/>
    <n v="0"/>
    <n v="0.76100000000000001"/>
    <n v="0.65400000000000003"/>
    <n v="0.71799999999999997"/>
    <x v="2"/>
  </r>
  <r>
    <d v="2026-03-04T00:00:00"/>
    <x v="2"/>
    <x v="10"/>
    <x v="10"/>
    <x v="5"/>
    <x v="0"/>
    <n v="20"/>
    <x v="0"/>
    <n v="13"/>
    <n v="10"/>
    <n v="3"/>
    <n v="9"/>
    <n v="11"/>
    <n v="2"/>
    <n v="0.72699999999999998"/>
    <n v="0.754"/>
    <n v="0.73799999999999999"/>
    <x v="2"/>
  </r>
  <r>
    <d v="2026-03-06T00:00:00"/>
    <x v="2"/>
    <x v="11"/>
    <x v="11"/>
    <x v="0"/>
    <x v="3"/>
    <n v="20"/>
    <x v="2"/>
    <n v="10"/>
    <n v="12"/>
    <n v="0"/>
    <n v="9"/>
    <n v="9"/>
    <n v="0"/>
    <n v="1"/>
    <n v="0.93300000000000005"/>
    <n v="0.97299999999999998"/>
    <x v="0"/>
  </r>
  <r>
    <d v="2026-03-08T00:00:00"/>
    <x v="2"/>
    <x v="12"/>
    <x v="12"/>
    <x v="1"/>
    <x v="1"/>
    <n v="21"/>
    <x v="0"/>
    <n v="11"/>
    <n v="8"/>
    <n v="50"/>
    <n v="7"/>
    <n v="5.8"/>
    <n v="0"/>
    <n v="0.753"/>
    <n v="0.71099999999999997"/>
    <n v="0.73599999999999999"/>
    <x v="2"/>
  </r>
  <r>
    <d v="2026-03-10T00:00:00"/>
    <x v="2"/>
    <x v="13"/>
    <x v="13"/>
    <x v="2"/>
    <x v="2"/>
    <n v="21"/>
    <x v="0"/>
    <n v="19"/>
    <n v="16"/>
    <n v="3"/>
    <n v="9"/>
    <n v="9.9"/>
    <n v="0.9"/>
    <n v="0.86699999999999999"/>
    <n v="0.88900000000000001"/>
    <n v="0.876"/>
    <x v="1"/>
  </r>
  <r>
    <d v="2026-03-12T00:00:00"/>
    <x v="2"/>
    <x v="14"/>
    <x v="14"/>
    <x v="3"/>
    <x v="3"/>
    <n v="20"/>
    <x v="0"/>
    <n v="19"/>
    <n v="18"/>
    <n v="1"/>
    <n v="7"/>
    <n v="5.7"/>
    <n v="0"/>
    <n v="0.90700000000000003"/>
    <n v="0.82899999999999996"/>
    <n v="0.876"/>
    <x v="1"/>
  </r>
  <r>
    <d v="2026-03-14T00:00:00"/>
    <x v="2"/>
    <x v="15"/>
    <x v="15"/>
    <x v="4"/>
    <x v="0"/>
    <n v="21"/>
    <x v="0"/>
    <n v="14"/>
    <n v="12"/>
    <n v="2"/>
    <n v="8"/>
    <n v="8.1999999999999993"/>
    <n v="0.2"/>
    <n v="0.85099999999999998"/>
    <n v="0.92300000000000004"/>
    <n v="0.88"/>
    <x v="1"/>
  </r>
  <r>
    <d v="2026-03-16T00:00:00"/>
    <x v="2"/>
    <x v="16"/>
    <x v="16"/>
    <x v="5"/>
    <x v="2"/>
    <n v="20"/>
    <x v="0"/>
    <n v="20"/>
    <n v="23"/>
    <n v="0"/>
    <n v="9"/>
    <n v="6.8"/>
    <n v="0"/>
    <n v="1"/>
    <n v="1"/>
    <n v="1"/>
    <x v="0"/>
  </r>
  <r>
    <d v="2026-03-20T00:00:00"/>
    <x v="2"/>
    <x v="17"/>
    <x v="17"/>
    <x v="1"/>
    <x v="3"/>
    <n v="20"/>
    <x v="0"/>
    <n v="8"/>
    <n v="6"/>
    <n v="2"/>
    <n v="8"/>
    <n v="8.1999999999999993"/>
    <n v="0.2"/>
    <n v="0.67"/>
    <n v="0.63600000000000001"/>
    <n v="0.65600000000000003"/>
    <x v="2"/>
  </r>
  <r>
    <d v="2026-03-22T00:00:00"/>
    <x v="2"/>
    <x v="0"/>
    <x v="0"/>
    <x v="0"/>
    <x v="0"/>
    <n v="21"/>
    <x v="0"/>
    <n v="14"/>
    <n v="16"/>
    <n v="0"/>
    <n v="9"/>
    <n v="9.8000000000000007"/>
    <n v="0.8"/>
    <n v="1"/>
    <n v="1"/>
    <n v="1"/>
    <x v="0"/>
  </r>
  <r>
    <d v="2026-03-24T00:00:00"/>
    <x v="2"/>
    <x v="1"/>
    <x v="1"/>
    <x v="0"/>
    <x v="1"/>
    <n v="22"/>
    <x v="0"/>
    <n v="10"/>
    <n v="8"/>
    <n v="2"/>
    <n v="8"/>
    <n v="8.1999999999999993"/>
    <n v="0.2"/>
    <n v="0.755"/>
    <n v="0.64800000000000002"/>
    <n v="0.71199999999999997"/>
    <x v="2"/>
  </r>
  <r>
    <d v="2026-03-26T00:00:00"/>
    <x v="2"/>
    <x v="2"/>
    <x v="2"/>
    <x v="1"/>
    <x v="2"/>
    <n v="22"/>
    <x v="2"/>
    <n v="8"/>
    <n v="10"/>
    <n v="0"/>
    <n v="8"/>
    <n v="7.9"/>
    <n v="0"/>
    <n v="1"/>
    <n v="1"/>
    <n v="1"/>
    <x v="0"/>
  </r>
  <r>
    <d v="2026-03-28T00:00:00"/>
    <x v="2"/>
    <x v="3"/>
    <x v="3"/>
    <x v="1"/>
    <x v="0"/>
    <n v="22"/>
    <x v="2"/>
    <n v="10"/>
    <n v="7"/>
    <n v="3"/>
    <n v="9"/>
    <n v="8.6999999999999993"/>
    <n v="0"/>
    <n v="0.63300000000000001"/>
    <n v="0.55400000000000005"/>
    <n v="0.60099999999999998"/>
    <x v="2"/>
  </r>
  <r>
    <d v="2026-03-30T00:00:00"/>
    <x v="2"/>
    <x v="4"/>
    <x v="4"/>
    <x v="2"/>
    <x v="3"/>
    <n v="22"/>
    <x v="0"/>
    <n v="18"/>
    <n v="21"/>
    <n v="0"/>
    <n v="7"/>
    <n v="5.4"/>
    <n v="0"/>
    <n v="1"/>
    <n v="1"/>
    <n v="1"/>
    <x v="0"/>
  </r>
  <r>
    <d v="2026-04-01T00:00:00"/>
    <x v="3"/>
    <x v="5"/>
    <x v="5"/>
    <x v="2"/>
    <x v="1"/>
    <n v="22"/>
    <x v="0"/>
    <n v="17"/>
    <n v="18"/>
    <n v="0"/>
    <n v="7"/>
    <n v="6.2"/>
    <n v="0"/>
    <n v="1"/>
    <n v="0.97199999999999998"/>
    <n v="0.98899999999999999"/>
    <x v="0"/>
  </r>
  <r>
    <d v="2026-04-05T00:00:00"/>
    <x v="3"/>
    <x v="7"/>
    <x v="7"/>
    <x v="3"/>
    <x v="0"/>
    <n v="20"/>
    <x v="0"/>
    <n v="14"/>
    <n v="12"/>
    <n v="2"/>
    <n v="9"/>
    <n v="10.199999999999999"/>
    <n v="1.2"/>
    <n v="0.88"/>
    <n v="0.86099999999999999"/>
    <n v="0.872"/>
    <x v="1"/>
  </r>
  <r>
    <d v="2026-04-07T00:00:00"/>
    <x v="3"/>
    <x v="8"/>
    <x v="8"/>
    <x v="4"/>
    <x v="3"/>
    <n v="20"/>
    <x v="0"/>
    <n v="15"/>
    <n v="16"/>
    <n v="0"/>
    <n v="9"/>
    <n v="9.4"/>
    <n v="0.4"/>
    <n v="1"/>
    <n v="0.89600000000000002"/>
    <n v="0.95799999999999996"/>
    <x v="0"/>
  </r>
  <r>
    <d v="2026-04-09T00:00:00"/>
    <x v="3"/>
    <x v="9"/>
    <x v="9"/>
    <x v="4"/>
    <x v="2"/>
    <n v="20"/>
    <x v="2"/>
    <n v="12"/>
    <n v="10"/>
    <n v="2"/>
    <n v="8"/>
    <n v="6.1"/>
    <n v="0"/>
    <n v="0.89400000000000002"/>
    <n v="0.96699999999999997"/>
    <n v="0.92300000000000004"/>
    <x v="0"/>
  </r>
  <r>
    <d v="2026-04-11T00:00:00"/>
    <x v="3"/>
    <x v="18"/>
    <x v="18"/>
    <x v="5"/>
    <x v="1"/>
    <n v="21"/>
    <x v="0"/>
    <n v="10"/>
    <n v="10"/>
    <n v="0"/>
    <n v="9"/>
    <n v="9.4"/>
    <n v="0.4"/>
    <n v="1"/>
    <n v="1"/>
    <n v="1"/>
    <x v="0"/>
  </r>
  <r>
    <d v="2026-04-13T00:00:00"/>
    <x v="3"/>
    <x v="10"/>
    <x v="10"/>
    <x v="5"/>
    <x v="0"/>
    <n v="22"/>
    <x v="2"/>
    <n v="8"/>
    <n v="10"/>
    <n v="0"/>
    <n v="9"/>
    <n v="8.6"/>
    <n v="0"/>
    <n v="1"/>
    <n v="1"/>
    <n v="1"/>
    <x v="0"/>
  </r>
  <r>
    <d v="2026-04-15T00:00:00"/>
    <x v="3"/>
    <x v="11"/>
    <x v="11"/>
    <x v="0"/>
    <x v="3"/>
    <n v="20"/>
    <x v="0"/>
    <n v="9"/>
    <n v="6"/>
    <n v="70"/>
    <n v="9"/>
    <n v="8.3000000000000007"/>
    <n v="0"/>
    <n v="0.67500000000000004"/>
    <n v="0.61499999999999999"/>
    <n v="0.65100000000000002"/>
    <x v="2"/>
  </r>
  <r>
    <d v="2026-04-19T00:00:00"/>
    <x v="3"/>
    <x v="13"/>
    <x v="13"/>
    <x v="2"/>
    <x v="2"/>
    <n v="22"/>
    <x v="0"/>
    <n v="12"/>
    <n v="15"/>
    <n v="0"/>
    <n v="7"/>
    <n v="8.1"/>
    <n v="1.1000000000000001"/>
    <n v="1"/>
    <n v="0.97299999999999998"/>
    <n v="0.98899999999999999"/>
    <x v="0"/>
  </r>
  <r>
    <d v="2026-04-21T00:00:00"/>
    <x v="3"/>
    <x v="14"/>
    <x v="14"/>
    <x v="3"/>
    <x v="3"/>
    <n v="21"/>
    <x v="0"/>
    <n v="8"/>
    <n v="7"/>
    <n v="1"/>
    <n v="7"/>
    <n v="8"/>
    <n v="1"/>
    <n v="0.89700000000000002"/>
    <n v="0.83499999999999996"/>
    <n v="0.872"/>
    <x v="1"/>
  </r>
  <r>
    <d v="2026-04-23T00:00:00"/>
    <x v="3"/>
    <x v="15"/>
    <x v="15"/>
    <x v="4"/>
    <x v="0"/>
    <n v="22"/>
    <x v="0"/>
    <n v="16"/>
    <n v="18"/>
    <n v="0"/>
    <n v="8"/>
    <n v="7.1"/>
    <n v="0"/>
    <n v="1"/>
    <n v="0.90500000000000003"/>
    <n v="0.96199999999999997"/>
    <x v="0"/>
  </r>
  <r>
    <d v="2026-04-25T00:00:00"/>
    <x v="3"/>
    <x v="16"/>
    <x v="16"/>
    <x v="5"/>
    <x v="2"/>
    <n v="22"/>
    <x v="0"/>
    <n v="16"/>
    <n v="13"/>
    <n v="3"/>
    <n v="8"/>
    <n v="7.7"/>
    <n v="0"/>
    <n v="0.82599999999999996"/>
    <n v="0.73899999999999999"/>
    <n v="0.79100000000000004"/>
    <x v="1"/>
  </r>
  <r>
    <d v="2026-04-27T00:00:00"/>
    <x v="3"/>
    <x v="19"/>
    <x v="19"/>
    <x v="0"/>
    <x v="1"/>
    <n v="20"/>
    <x v="0"/>
    <n v="12"/>
    <n v="11"/>
    <n v="1"/>
    <n v="7"/>
    <n v="7.4"/>
    <n v="0.4"/>
    <n v="0.98"/>
    <n v="0.90600000000000003"/>
    <n v="0.95"/>
    <x v="0"/>
  </r>
  <r>
    <d v="2026-04-29T00:00:00"/>
    <x v="3"/>
    <x v="17"/>
    <x v="17"/>
    <x v="1"/>
    <x v="3"/>
    <n v="20"/>
    <x v="1"/>
    <n v="9"/>
    <n v="8"/>
    <n v="1"/>
    <n v="9"/>
    <n v="10.1"/>
    <n v="1.1000000000000001"/>
    <n v="0.95"/>
    <n v="0.91900000000000004"/>
    <n v="0.93799999999999994"/>
    <x v="0"/>
  </r>
  <r>
    <d v="2026-05-01T00:00:00"/>
    <x v="4"/>
    <x v="0"/>
    <x v="0"/>
    <x v="0"/>
    <x v="0"/>
    <n v="22"/>
    <x v="1"/>
    <n v="10"/>
    <n v="8"/>
    <n v="2"/>
    <n v="7"/>
    <n v="6.5"/>
    <n v="0"/>
    <n v="0.876"/>
    <n v="0.93400000000000005"/>
    <n v="0.89900000000000002"/>
    <x v="1"/>
  </r>
  <r>
    <d v="2026-05-03T00:00:00"/>
    <x v="4"/>
    <x v="1"/>
    <x v="1"/>
    <x v="0"/>
    <x v="1"/>
    <n v="21"/>
    <x v="0"/>
    <n v="10"/>
    <n v="12"/>
    <n v="0"/>
    <n v="8"/>
    <n v="7.8"/>
    <n v="0"/>
    <n v="1"/>
    <n v="0.97099999999999997"/>
    <n v="0.98799999999999999"/>
    <x v="0"/>
  </r>
  <r>
    <d v="2026-05-07T00:00:00"/>
    <x v="4"/>
    <x v="3"/>
    <x v="3"/>
    <x v="1"/>
    <x v="0"/>
    <n v="21"/>
    <x v="0"/>
    <n v="15"/>
    <n v="13"/>
    <n v="2"/>
    <n v="7"/>
    <n v="5.7"/>
    <n v="0"/>
    <n v="0.91700000000000004"/>
    <n v="0.89800000000000002"/>
    <n v="0.90900000000000003"/>
    <x v="0"/>
  </r>
  <r>
    <d v="2026-05-09T00:00:00"/>
    <x v="4"/>
    <x v="4"/>
    <x v="4"/>
    <x v="2"/>
    <x v="3"/>
    <n v="21"/>
    <x v="0"/>
    <n v="11"/>
    <n v="8"/>
    <n v="3"/>
    <n v="9"/>
    <n v="9.9"/>
    <n v="0.9"/>
    <n v="0.67800000000000005"/>
    <n v="0.63"/>
    <n v="0.65900000000000003"/>
    <x v="2"/>
  </r>
  <r>
    <d v="2026-05-11T00:00:00"/>
    <x v="4"/>
    <x v="5"/>
    <x v="5"/>
    <x v="2"/>
    <x v="1"/>
    <n v="20"/>
    <x v="0"/>
    <n v="13"/>
    <n v="15"/>
    <n v="0"/>
    <n v="9"/>
    <n v="10.5"/>
    <n v="1.5"/>
    <n v="1"/>
    <n v="1"/>
    <n v="1"/>
    <x v="0"/>
  </r>
  <r>
    <d v="2026-05-13T00:00:00"/>
    <x v="4"/>
    <x v="6"/>
    <x v="6"/>
    <x v="3"/>
    <x v="2"/>
    <n v="22"/>
    <x v="0"/>
    <n v="8"/>
    <n v="5"/>
    <n v="50"/>
    <n v="8"/>
    <n v="7.9"/>
    <n v="0"/>
    <n v="0.57399999999999995"/>
    <n v="0.66600000000000004"/>
    <n v="0.61099999999999999"/>
    <x v="2"/>
  </r>
  <r>
    <d v="2026-05-15T00:00:00"/>
    <x v="4"/>
    <x v="7"/>
    <x v="7"/>
    <x v="3"/>
    <x v="0"/>
    <n v="21"/>
    <x v="0"/>
    <n v="9"/>
    <n v="10"/>
    <n v="0"/>
    <n v="8"/>
    <n v="9.1"/>
    <n v="1.1000000000000001"/>
    <n v="1"/>
    <n v="1"/>
    <n v="1"/>
    <x v="0"/>
  </r>
  <r>
    <d v="2026-05-17T00:00:00"/>
    <x v="4"/>
    <x v="8"/>
    <x v="8"/>
    <x v="4"/>
    <x v="3"/>
    <n v="21"/>
    <x v="2"/>
    <n v="16"/>
    <n v="13"/>
    <n v="3"/>
    <n v="8"/>
    <n v="8.4"/>
    <n v="0.4"/>
    <n v="0.876"/>
    <n v="0.79800000000000004"/>
    <n v="0.84499999999999997"/>
    <x v="1"/>
  </r>
  <r>
    <d v="2026-05-21T00:00:00"/>
    <x v="4"/>
    <x v="18"/>
    <x v="18"/>
    <x v="5"/>
    <x v="1"/>
    <n v="22"/>
    <x v="1"/>
    <n v="19"/>
    <n v="21"/>
    <n v="0"/>
    <n v="7"/>
    <n v="7.4"/>
    <n v="0.4"/>
    <n v="1"/>
    <n v="0.89500000000000002"/>
    <n v="0.95799999999999996"/>
    <x v="0"/>
  </r>
  <r>
    <d v="2026-05-23T00:00:00"/>
    <x v="4"/>
    <x v="10"/>
    <x v="10"/>
    <x v="5"/>
    <x v="0"/>
    <n v="22"/>
    <x v="0"/>
    <n v="17"/>
    <n v="16"/>
    <n v="1"/>
    <n v="9"/>
    <n v="10.7"/>
    <n v="1.7"/>
    <n v="0.997"/>
    <n v="1"/>
    <n v="0.998"/>
    <x v="0"/>
  </r>
  <r>
    <d v="2026-05-25T00:00:00"/>
    <x v="4"/>
    <x v="11"/>
    <x v="11"/>
    <x v="0"/>
    <x v="3"/>
    <n v="21"/>
    <x v="2"/>
    <n v="12"/>
    <n v="14"/>
    <n v="0"/>
    <n v="8"/>
    <n v="8"/>
    <n v="0"/>
    <n v="1"/>
    <n v="1"/>
    <n v="1"/>
    <x v="0"/>
  </r>
  <r>
    <d v="2026-05-27T00:00:00"/>
    <x v="4"/>
    <x v="12"/>
    <x v="12"/>
    <x v="1"/>
    <x v="1"/>
    <n v="22"/>
    <x v="0"/>
    <n v="11"/>
    <n v="11"/>
    <n v="0"/>
    <n v="9"/>
    <n v="10.7"/>
    <n v="1.7"/>
    <n v="1"/>
    <n v="1"/>
    <n v="1"/>
    <x v="0"/>
  </r>
  <r>
    <d v="2026-05-29T00:00:00"/>
    <x v="4"/>
    <x v="13"/>
    <x v="13"/>
    <x v="2"/>
    <x v="2"/>
    <n v="20"/>
    <x v="2"/>
    <n v="17"/>
    <n v="16"/>
    <n v="1"/>
    <n v="8"/>
    <n v="5.0999999999999996"/>
    <n v="0"/>
    <n v="0.94899999999999995"/>
    <n v="0.82899999999999996"/>
    <n v="0.90100000000000002"/>
    <x v="0"/>
  </r>
  <r>
    <d v="2026-05-31T00:00:00"/>
    <x v="4"/>
    <x v="14"/>
    <x v="14"/>
    <x v="3"/>
    <x v="3"/>
    <n v="21"/>
    <x v="0"/>
    <n v="14"/>
    <n v="17"/>
    <n v="0"/>
    <n v="9"/>
    <n v="9.9"/>
    <n v="0.9"/>
    <n v="1"/>
    <n v="0.95099999999999996"/>
    <n v="0.98"/>
    <x v="0"/>
  </r>
  <r>
    <d v="2026-06-02T00:00:00"/>
    <x v="5"/>
    <x v="15"/>
    <x v="15"/>
    <x v="4"/>
    <x v="0"/>
    <n v="21"/>
    <x v="0"/>
    <n v="18"/>
    <n v="16"/>
    <n v="2"/>
    <n v="9"/>
    <n v="9.1"/>
    <n v="0.1"/>
    <n v="0.88500000000000001"/>
    <n v="0.96299999999999997"/>
    <n v="0.91600000000000004"/>
    <x v="0"/>
  </r>
  <r>
    <d v="2026-06-06T00:00:00"/>
    <x v="5"/>
    <x v="19"/>
    <x v="19"/>
    <x v="0"/>
    <x v="1"/>
    <n v="21"/>
    <x v="0"/>
    <n v="20"/>
    <n v="18"/>
    <n v="2"/>
    <n v="9"/>
    <n v="9.1"/>
    <n v="0.1"/>
    <n v="0.87"/>
    <n v="0.92700000000000005"/>
    <n v="0.89300000000000002"/>
    <x v="1"/>
  </r>
  <r>
    <d v="2026-06-08T00:00:00"/>
    <x v="5"/>
    <x v="17"/>
    <x v="17"/>
    <x v="1"/>
    <x v="3"/>
    <n v="20"/>
    <x v="0"/>
    <n v="8"/>
    <n v="6"/>
    <n v="2"/>
    <n v="8"/>
    <n v="5.8"/>
    <n v="0"/>
    <n v="0.76800000000000002"/>
    <n v="0.81699999999999995"/>
    <n v="0.78800000000000003"/>
    <x v="1"/>
  </r>
  <r>
    <d v="2026-06-10T00:00:00"/>
    <x v="5"/>
    <x v="0"/>
    <x v="0"/>
    <x v="0"/>
    <x v="0"/>
    <n v="21"/>
    <x v="0"/>
    <n v="18"/>
    <n v="19"/>
    <n v="50"/>
    <n v="7"/>
    <n v="6.8"/>
    <n v="0"/>
    <n v="1"/>
    <n v="0.96399999999999997"/>
    <n v="0.98599999999999999"/>
    <x v="0"/>
  </r>
  <r>
    <d v="2026-06-12T00:00:00"/>
    <x v="5"/>
    <x v="1"/>
    <x v="1"/>
    <x v="0"/>
    <x v="1"/>
    <n v="21"/>
    <x v="0"/>
    <n v="10"/>
    <n v="12"/>
    <n v="0"/>
    <n v="9"/>
    <n v="9.4"/>
    <n v="0.4"/>
    <n v="1"/>
    <n v="1"/>
    <n v="1"/>
    <x v="0"/>
  </r>
  <r>
    <d v="2026-06-14T00:00:00"/>
    <x v="5"/>
    <x v="2"/>
    <x v="2"/>
    <x v="1"/>
    <x v="2"/>
    <n v="20"/>
    <x v="0"/>
    <n v="11"/>
    <n v="9"/>
    <n v="2"/>
    <n v="9"/>
    <n v="10.6"/>
    <n v="1.6"/>
    <n v="0.82099999999999995"/>
    <n v="0.71199999999999997"/>
    <n v="0.77700000000000002"/>
    <x v="1"/>
  </r>
  <r>
    <d v="2026-06-16T00:00:00"/>
    <x v="5"/>
    <x v="3"/>
    <x v="3"/>
    <x v="1"/>
    <x v="0"/>
    <n v="20"/>
    <x v="0"/>
    <n v="15"/>
    <n v="13"/>
    <n v="2"/>
    <n v="8"/>
    <n v="7.4"/>
    <n v="0"/>
    <n v="0.89300000000000002"/>
    <n v="0.99"/>
    <n v="0.93200000000000005"/>
    <x v="0"/>
  </r>
  <r>
    <d v="2026-06-20T00:00:00"/>
    <x v="5"/>
    <x v="5"/>
    <x v="5"/>
    <x v="2"/>
    <x v="1"/>
    <n v="21"/>
    <x v="2"/>
    <n v="15"/>
    <n v="13"/>
    <n v="2"/>
    <n v="9"/>
    <n v="8.4"/>
    <n v="0"/>
    <n v="0.92500000000000004"/>
    <n v="0.90400000000000003"/>
    <n v="0.91700000000000004"/>
    <x v="0"/>
  </r>
  <r>
    <d v="2026-06-22T00:00:00"/>
    <x v="5"/>
    <x v="6"/>
    <x v="6"/>
    <x v="3"/>
    <x v="2"/>
    <n v="20"/>
    <x v="1"/>
    <n v="12"/>
    <n v="15"/>
    <n v="0"/>
    <n v="9"/>
    <n v="10"/>
    <n v="1"/>
    <n v="1"/>
    <n v="0.93300000000000005"/>
    <n v="0.97299999999999998"/>
    <x v="0"/>
  </r>
  <r>
    <d v="2026-06-24T00:00:00"/>
    <x v="5"/>
    <x v="7"/>
    <x v="7"/>
    <x v="3"/>
    <x v="0"/>
    <n v="21"/>
    <x v="0"/>
    <n v="19"/>
    <n v="18"/>
    <n v="1"/>
    <n v="7"/>
    <n v="7.4"/>
    <n v="0.4"/>
    <n v="0.91100000000000003"/>
    <n v="0.86099999999999999"/>
    <n v="0.89100000000000001"/>
    <x v="1"/>
  </r>
  <r>
    <d v="2026-06-26T00:00:00"/>
    <x v="5"/>
    <x v="8"/>
    <x v="8"/>
    <x v="4"/>
    <x v="3"/>
    <n v="22"/>
    <x v="0"/>
    <n v="10"/>
    <n v="8"/>
    <n v="2"/>
    <n v="7"/>
    <n v="6.4"/>
    <n v="0"/>
    <n v="0.78100000000000003"/>
    <n v="0.69499999999999995"/>
    <n v="0.747"/>
    <x v="2"/>
  </r>
  <r>
    <d v="2026-06-28T00:00:00"/>
    <x v="5"/>
    <x v="9"/>
    <x v="9"/>
    <x v="4"/>
    <x v="2"/>
    <n v="20"/>
    <x v="0"/>
    <n v="14"/>
    <n v="14"/>
    <n v="0"/>
    <n v="8"/>
    <n v="8.6"/>
    <n v="0.6"/>
    <n v="1"/>
    <n v="0.97099999999999997"/>
    <n v="0.98799999999999999"/>
    <x v="0"/>
  </r>
  <r>
    <d v="2026-06-30T00:00:00"/>
    <x v="5"/>
    <x v="18"/>
    <x v="18"/>
    <x v="5"/>
    <x v="1"/>
    <n v="20"/>
    <x v="0"/>
    <n v="14"/>
    <n v="17"/>
    <n v="0"/>
    <n v="9"/>
    <n v="9.1"/>
    <n v="0.1"/>
    <n v="1"/>
    <n v="0.88400000000000001"/>
    <n v="0.95399999999999996"/>
    <x v="0"/>
  </r>
  <r>
    <d v="2026-07-02T00:00:00"/>
    <x v="6"/>
    <x v="10"/>
    <x v="10"/>
    <x v="5"/>
    <x v="0"/>
    <n v="22"/>
    <x v="0"/>
    <n v="15"/>
    <n v="12"/>
    <n v="3"/>
    <n v="8"/>
    <n v="9.1"/>
    <n v="1.1000000000000001"/>
    <n v="0.76800000000000002"/>
    <n v="0.73399999999999999"/>
    <n v="0.754"/>
    <x v="1"/>
  </r>
  <r>
    <d v="2026-07-06T00:00:00"/>
    <x v="6"/>
    <x v="12"/>
    <x v="12"/>
    <x v="1"/>
    <x v="1"/>
    <n v="21"/>
    <x v="0"/>
    <n v="12"/>
    <n v="12"/>
    <n v="0"/>
    <n v="8"/>
    <n v="7.6"/>
    <n v="0"/>
    <n v="0.92500000000000004"/>
    <n v="0.879"/>
    <n v="0.90700000000000003"/>
    <x v="0"/>
  </r>
  <r>
    <d v="2026-07-08T00:00:00"/>
    <x v="6"/>
    <x v="13"/>
    <x v="13"/>
    <x v="2"/>
    <x v="2"/>
    <n v="22"/>
    <x v="0"/>
    <n v="19"/>
    <n v="17"/>
    <n v="2"/>
    <n v="8"/>
    <n v="7.6"/>
    <n v="0"/>
    <n v="0.96199999999999997"/>
    <n v="1"/>
    <n v="0.97699999999999998"/>
    <x v="0"/>
  </r>
  <r>
    <d v="2026-07-10T00:00:00"/>
    <x v="6"/>
    <x v="14"/>
    <x v="14"/>
    <x v="3"/>
    <x v="3"/>
    <n v="22"/>
    <x v="0"/>
    <n v="14"/>
    <n v="15"/>
    <n v="30"/>
    <n v="9"/>
    <n v="7.4"/>
    <n v="0"/>
    <n v="1"/>
    <n v="0.89800000000000002"/>
    <n v="0.95899999999999996"/>
    <x v="0"/>
  </r>
  <r>
    <d v="2026-07-12T00:00:00"/>
    <x v="6"/>
    <x v="15"/>
    <x v="15"/>
    <x v="4"/>
    <x v="0"/>
    <n v="21"/>
    <x v="0"/>
    <n v="15"/>
    <n v="13"/>
    <n v="2"/>
    <n v="7"/>
    <n v="7.3"/>
    <n v="0.3"/>
    <n v="0.82799999999999996"/>
    <n v="0.78"/>
    <n v="0.80900000000000005"/>
    <x v="1"/>
  </r>
  <r>
    <d v="2026-07-14T00:00:00"/>
    <x v="6"/>
    <x v="16"/>
    <x v="16"/>
    <x v="5"/>
    <x v="2"/>
    <n v="21"/>
    <x v="0"/>
    <n v="13"/>
    <n v="16"/>
    <n v="0"/>
    <n v="8"/>
    <n v="8.3000000000000007"/>
    <n v="0.3"/>
    <n v="1"/>
    <n v="1"/>
    <n v="1"/>
    <x v="0"/>
  </r>
  <r>
    <d v="2026-07-16T00:00:00"/>
    <x v="6"/>
    <x v="19"/>
    <x v="19"/>
    <x v="0"/>
    <x v="1"/>
    <n v="21"/>
    <x v="0"/>
    <n v="9"/>
    <n v="9"/>
    <n v="0"/>
    <n v="7"/>
    <n v="7"/>
    <n v="0"/>
    <n v="1"/>
    <n v="0.89100000000000001"/>
    <n v="0.95599999999999996"/>
    <x v="0"/>
  </r>
  <r>
    <d v="2026-07-18T00:00:00"/>
    <x v="6"/>
    <x v="17"/>
    <x v="17"/>
    <x v="1"/>
    <x v="3"/>
    <n v="21"/>
    <x v="0"/>
    <n v="18"/>
    <n v="15"/>
    <n v="3"/>
    <n v="9"/>
    <n v="8.6999999999999993"/>
    <n v="0"/>
    <n v="0.76"/>
    <n v="0.64700000000000002"/>
    <n v="0.7149999999999999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FD04AE-E230-43BB-B364-7AEC651B975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endence Status">
  <location ref="N11:O15" firstHeaderRow="1" firstDataRow="1" firstDataCol="1"/>
  <pivotFields count="18">
    <pivotField numFmtId="15" showAll="0"/>
    <pivotField showAll="0">
      <items count="8">
        <item x="0"/>
        <item x="1"/>
        <item x="2"/>
        <item x="3"/>
        <item x="4"/>
        <item x="5"/>
        <item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items count="4">
        <item x="1"/>
        <item x="0"/>
        <item x="2"/>
        <item t="default"/>
      </items>
    </pivotField>
    <pivotField showAll="0"/>
    <pivotField showAll="0"/>
    <pivotField showAll="0"/>
    <pivotField showAll="0"/>
    <pivotField showAll="0"/>
    <pivotField showAll="0"/>
    <pivotField numFmtId="10" showAll="0"/>
    <pivotField numFmtId="10" showAll="0"/>
    <pivotField numFmtId="10" showAll="0"/>
    <pivotField axis="axisRow" showAll="0">
      <items count="4">
        <item x="0"/>
        <item x="2"/>
        <item x="1"/>
        <item t="default"/>
      </items>
    </pivotField>
  </pivotFields>
  <rowFields count="1">
    <field x="17"/>
  </rowFields>
  <rowItems count="4">
    <i>
      <x/>
    </i>
    <i>
      <x v="1"/>
    </i>
    <i>
      <x v="2"/>
    </i>
    <i t="grand">
      <x/>
    </i>
  </rowItems>
  <colItems count="1">
    <i/>
  </colItems>
  <dataFields count="1">
    <dataField name="Count of Emp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517C71-D7DA-407E-B6F3-0E022C59E6A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mployee Name">
  <location ref="M3:N9" firstHeaderRow="1" firstDataRow="1" firstDataCol="1"/>
  <pivotFields count="18">
    <pivotField numFmtId="15" showAll="0"/>
    <pivotField showAll="0"/>
    <pivotField showAll="0"/>
    <pivotField axis="axisRow" showAll="0" measureFilter="1">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numFmtId="10" showAll="0"/>
    <pivotField dataField="1" numFmtId="10" showAll="0"/>
    <pivotField showAll="0">
      <items count="4">
        <item x="0"/>
        <item x="2"/>
        <item x="1"/>
        <item t="default"/>
      </items>
    </pivotField>
  </pivotFields>
  <rowFields count="1">
    <field x="3"/>
  </rowFields>
  <rowItems count="6">
    <i>
      <x v="7"/>
    </i>
    <i>
      <x v="11"/>
    </i>
    <i>
      <x v="12"/>
    </i>
    <i>
      <x v="13"/>
    </i>
    <i>
      <x v="18"/>
    </i>
    <i t="grand">
      <x/>
    </i>
  </rowItems>
  <colItems count="1">
    <i/>
  </colItems>
  <dataFields count="1">
    <dataField name="Average of Achievement %" fld="16" subtotal="average" baseField="3"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43575E-34CB-456D-8CCA-C71CCB3D745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D3:E10" firstHeaderRow="1" firstDataRow="1" firstDataCol="1"/>
  <pivotFields count="18">
    <pivotField numFmtId="15" showAll="0"/>
    <pivotField showAll="0"/>
    <pivotField showAll="0"/>
    <pivotField showAll="0"/>
    <pivotField axis="axisRow"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numFmtId="10" showAll="0"/>
    <pivotField dataField="1" numFmtId="10" showAll="0"/>
    <pivotField showAll="0">
      <items count="4">
        <item x="0"/>
        <item x="2"/>
        <item x="1"/>
        <item t="default"/>
      </items>
    </pivotField>
  </pivotFields>
  <rowFields count="1">
    <field x="4"/>
  </rowFields>
  <rowItems count="7">
    <i>
      <x/>
    </i>
    <i>
      <x v="1"/>
    </i>
    <i>
      <x v="2"/>
    </i>
    <i>
      <x v="3"/>
    </i>
    <i>
      <x v="4"/>
    </i>
    <i>
      <x v="5"/>
    </i>
    <i t="grand">
      <x/>
    </i>
  </rowItems>
  <colItems count="1">
    <i/>
  </colItems>
  <dataFields count="1">
    <dataField name="Average of Achievement %" fld="16" subtotal="average" baseField="4"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09B240-4154-45C1-88A0-42BB7843163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Employee Name">
  <location ref="D12:E20" firstHeaderRow="1" firstDataRow="1" firstDataCol="1"/>
  <pivotFields count="18">
    <pivotField numFmtId="15" showAll="0"/>
    <pivotField axis="axisRow" showAll="0">
      <items count="8">
        <item x="0"/>
        <item x="1"/>
        <item x="2"/>
        <item x="3"/>
        <item x="4"/>
        <item x="5"/>
        <item x="6"/>
        <item t="default"/>
      </items>
    </pivotField>
    <pivotField showAll="0"/>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 numFmtId="10" showAll="0"/>
    <pivotField showAll="0">
      <items count="4">
        <item x="0"/>
        <item x="2"/>
        <item x="1"/>
        <item t="default"/>
      </items>
    </pivotField>
  </pivotFields>
  <rowFields count="1">
    <field x="1"/>
  </rowFields>
  <rowItems count="8">
    <i>
      <x/>
    </i>
    <i>
      <x v="1"/>
    </i>
    <i>
      <x v="2"/>
    </i>
    <i>
      <x v="3"/>
    </i>
    <i>
      <x v="4"/>
    </i>
    <i>
      <x v="5"/>
    </i>
    <i>
      <x v="6"/>
    </i>
    <i t="grand">
      <x/>
    </i>
  </rowItems>
  <colItems count="1">
    <i/>
  </colItems>
  <dataFields count="1">
    <dataField name="Average of Productivity %" fld="14" subtotal="average" baseField="1"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9DA164-A214-49D6-8A88-8B826F4A778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endence Status">
  <location ref="K12:L16" firstHeaderRow="1" firstDataRow="1" firstDataCol="1"/>
  <pivotFields count="18">
    <pivotField numFmtId="15" showAll="0"/>
    <pivotField showAll="0">
      <items count="8">
        <item x="0"/>
        <item x="1"/>
        <item x="2"/>
        <item x="3"/>
        <item x="4"/>
        <item x="5"/>
        <item x="6"/>
        <item t="default"/>
      </items>
    </pivotField>
    <pivotField dataField="1" showAll="0">
      <items count="21">
        <item x="0"/>
        <item x="1"/>
        <item x="2"/>
        <item x="3"/>
        <item x="4"/>
        <item x="5"/>
        <item x="6"/>
        <item x="7"/>
        <item x="8"/>
        <item x="9"/>
        <item x="18"/>
        <item x="10"/>
        <item x="11"/>
        <item x="12"/>
        <item x="13"/>
        <item x="14"/>
        <item x="15"/>
        <item x="16"/>
        <item x="19"/>
        <item x="17"/>
        <item t="default"/>
      </items>
    </pivotField>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numFmtId="10" showAll="0"/>
    <pivotField numFmtId="10" showAll="0"/>
    <pivotField numFmtId="10" showAll="0"/>
    <pivotField showAll="0">
      <items count="4">
        <item x="0"/>
        <item x="2"/>
        <item x="1"/>
        <item t="default"/>
      </items>
    </pivotField>
  </pivotFields>
  <rowFields count="1">
    <field x="7"/>
  </rowFields>
  <rowItems count="4">
    <i>
      <x/>
    </i>
    <i>
      <x v="1"/>
    </i>
    <i>
      <x v="2"/>
    </i>
    <i t="grand">
      <x/>
    </i>
  </rowItems>
  <colItems count="1">
    <i/>
  </colItems>
  <dataFields count="1">
    <dataField name="Count of Emp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631C79-0FF5-4D18-9501-6C02C9CDA39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epartment">
  <location ref="G3:H10" firstHeaderRow="1" firstDataRow="1" firstDataCol="1"/>
  <pivotFields count="18">
    <pivotField numFmtId="15" showAll="0"/>
    <pivotField showAll="0"/>
    <pivotField showAll="0"/>
    <pivotField showAll="0"/>
    <pivotField axis="axisRow"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 numFmtId="10" showAll="0"/>
    <pivotField showAll="0">
      <items count="4">
        <item x="0"/>
        <item x="2"/>
        <item x="1"/>
        <item t="default"/>
      </items>
    </pivotField>
  </pivotFields>
  <rowFields count="1">
    <field x="4"/>
  </rowFields>
  <rowItems count="7">
    <i>
      <x/>
    </i>
    <i>
      <x v="1"/>
    </i>
    <i>
      <x v="2"/>
    </i>
    <i>
      <x v="3"/>
    </i>
    <i>
      <x v="4"/>
    </i>
    <i>
      <x v="5"/>
    </i>
    <i t="grand">
      <x/>
    </i>
  </rowItems>
  <colItems count="1">
    <i/>
  </colItems>
  <dataFields count="1">
    <dataField name="Average of Productivity %" fld="14" subtotal="average" baseField="4" baseItem="0" numFmtId="10"/>
  </dataField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4" count="1" selected="0">
            <x v="0"/>
          </reference>
        </references>
      </pivotArea>
    </chartFormat>
    <chartFormat chart="11" format="10">
      <pivotArea type="data" outline="0" fieldPosition="0">
        <references count="2">
          <reference field="4294967294" count="1" selected="0">
            <x v="0"/>
          </reference>
          <reference field="4" count="1" selected="0">
            <x v="1"/>
          </reference>
        </references>
      </pivotArea>
    </chartFormat>
    <chartFormat chart="11" format="11">
      <pivotArea type="data" outline="0" fieldPosition="0">
        <references count="2">
          <reference field="4294967294" count="1" selected="0">
            <x v="0"/>
          </reference>
          <reference field="4" count="1" selected="0">
            <x v="2"/>
          </reference>
        </references>
      </pivotArea>
    </chartFormat>
    <chartFormat chart="11" format="12">
      <pivotArea type="data" outline="0" fieldPosition="0">
        <references count="2">
          <reference field="4294967294" count="1" selected="0">
            <x v="0"/>
          </reference>
          <reference field="4" count="1" selected="0">
            <x v="3"/>
          </reference>
        </references>
      </pivotArea>
    </chartFormat>
    <chartFormat chart="11" format="13">
      <pivotArea type="data" outline="0" fieldPosition="0">
        <references count="2">
          <reference field="4294967294" count="1" selected="0">
            <x v="0"/>
          </reference>
          <reference field="4" count="1" selected="0">
            <x v="4"/>
          </reference>
        </references>
      </pivotArea>
    </chartFormat>
    <chartFormat chart="11"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B2A6FB-9765-4557-8A27-D5489D94BE0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Employee Name">
  <location ref="G12:I20" firstHeaderRow="0" firstDataRow="1" firstDataCol="1"/>
  <pivotFields count="18">
    <pivotField numFmtId="15" showAll="0"/>
    <pivotField axis="axisRow" showAll="0">
      <items count="8">
        <item x="0"/>
        <item x="1"/>
        <item x="2"/>
        <item x="3"/>
        <item x="4"/>
        <item x="5"/>
        <item x="6"/>
        <item t="default"/>
      </items>
    </pivotField>
    <pivotField showAll="0"/>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dataField="1" showAll="0"/>
    <pivotField dataField="1" showAll="0"/>
    <pivotField showAll="0"/>
    <pivotField showAll="0"/>
    <pivotField showAll="0"/>
    <pivotField numFmtId="10" showAll="0"/>
    <pivotField numFmtId="10" showAll="0"/>
    <pivotField numFmtId="10" showAll="0"/>
    <pivotField showAll="0">
      <items count="4">
        <item x="0"/>
        <item x="2"/>
        <item x="1"/>
        <item t="default"/>
      </items>
    </pivotField>
  </pivotFields>
  <rowFields count="1">
    <field x="1"/>
  </rowFields>
  <rowItems count="8">
    <i>
      <x/>
    </i>
    <i>
      <x v="1"/>
    </i>
    <i>
      <x v="2"/>
    </i>
    <i>
      <x v="3"/>
    </i>
    <i>
      <x v="4"/>
    </i>
    <i>
      <x v="5"/>
    </i>
    <i>
      <x v="6"/>
    </i>
    <i t="grand">
      <x/>
    </i>
  </rowItems>
  <colFields count="1">
    <field x="-2"/>
  </colFields>
  <colItems count="2">
    <i>
      <x/>
    </i>
    <i i="1">
      <x v="1"/>
    </i>
  </colItems>
  <dataFields count="2">
    <dataField name="Sum of Completed Tasks" fld="9" baseField="0" baseItem="0"/>
    <dataField name="Sum of Pending Tasks" fld="10" baseField="0" baseItem="0"/>
  </dataFields>
  <chartFormats count="2">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554859-F111-48EC-A780-E1F72FC969A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J3:K8" firstHeaderRow="1" firstDataRow="1" firstDataCol="1"/>
  <pivotFields count="18">
    <pivotField numFmtId="15" showAll="0"/>
    <pivotField showAll="0"/>
    <pivotField showAll="0"/>
    <pivotField showAll="0"/>
    <pivotField showAll="0">
      <items count="7">
        <item x="2"/>
        <item x="3"/>
        <item x="5"/>
        <item x="1"/>
        <item x="4"/>
        <item x="0"/>
        <item t="default"/>
      </items>
    </pivotField>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dataField="1" numFmtId="10" showAll="0"/>
    <pivotField numFmtId="10" showAll="0"/>
    <pivotField showAll="0">
      <items count="4">
        <item x="0"/>
        <item x="2"/>
        <item x="1"/>
        <item t="default"/>
      </items>
    </pivotField>
  </pivotFields>
  <rowFields count="1">
    <field x="5"/>
  </rowFields>
  <rowItems count="5">
    <i>
      <x/>
    </i>
    <i>
      <x v="1"/>
    </i>
    <i>
      <x v="2"/>
    </i>
    <i>
      <x v="3"/>
    </i>
    <i t="grand">
      <x/>
    </i>
  </rowItems>
  <colItems count="1">
    <i/>
  </colItems>
  <dataFields count="1">
    <dataField name="Average of Quality Score %" fld="15" subtotal="average"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tatus" xr10:uid="{B4155E6E-A0A6-4CA9-B352-AB4E5C300E0D}" sourceName="Performance Status">
  <pivotTables>
    <pivotTable tabId="2" name="PivotTable3"/>
    <pivotTable tabId="2" name="PivotTable2"/>
    <pivotTable tabId="2" name="PivotTable4"/>
    <pivotTable tabId="2" name="PivotTable5"/>
    <pivotTable tabId="2" name="PivotTable6"/>
    <pivotTable tabId="2" name="PivotTable7"/>
    <pivotTable tabId="2" name="PivotTable8"/>
    <pivotTable tabId="2" name="PivotTable9"/>
  </pivotTables>
  <data>
    <tabular pivotCacheId="36901152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4DCBC0-2540-4843-B4F5-69C0C5143F94}" sourceName="Region">
  <pivotTables>
    <pivotTable tabId="2" name="PivotTable3"/>
    <pivotTable tabId="2" name="PivotTable2"/>
    <pivotTable tabId="2" name="PivotTable4"/>
    <pivotTable tabId="2" name="PivotTable5"/>
    <pivotTable tabId="2" name="PivotTable6"/>
    <pivotTable tabId="2" name="PivotTable7"/>
    <pivotTable tabId="2" name="PivotTable8"/>
    <pivotTable tabId="2" name="PivotTable9"/>
  </pivotTables>
  <data>
    <tabular pivotCacheId="369011526">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4C877D4-8DBF-434C-BA24-2E448F227634}" sourceName="Department">
  <pivotTables>
    <pivotTable tabId="2" name="PivotTable3"/>
    <pivotTable tabId="2" name="PivotTable2"/>
    <pivotTable tabId="2" name="PivotTable4"/>
    <pivotTable tabId="2" name="PivotTable5"/>
    <pivotTable tabId="2" name="PivotTable6"/>
    <pivotTable tabId="2" name="PivotTable7"/>
    <pivotTable tabId="2" name="PivotTable8"/>
    <pivotTable tabId="2" name="PivotTable9"/>
  </pivotTables>
  <data>
    <tabular pivotCacheId="369011526">
      <items count="6">
        <i x="2" s="1"/>
        <i x="3" s="1"/>
        <i x="5"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Status" xr10:uid="{CFEF53AF-897A-411B-96B9-A945A7636BA4}" cache="Slicer_Performance_Status" caption="Performance Status" rowHeight="257175"/>
  <slicer name="Region" xr10:uid="{D3E6DD24-A32A-4D5B-8E14-716D4A52FAC4}" cache="Slicer_Region" caption="Region" rowHeight="257175"/>
  <slicer name="Department" xr10:uid="{549D3FF3-3A8F-4100-8122-D6D5F5880C90}" cache="Slicer_Department" caption="Depart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15E95E-7C5B-474A-B4C8-A9CC474F48AD}" name="Table2" displayName="Table2" ref="A3:R16" totalsRowShown="0">
  <autoFilter ref="A3:R16" xr:uid="{8915E95E-7C5B-474A-B4C8-A9CC474F48AD}"/>
  <tableColumns count="18">
    <tableColumn id="1" xr3:uid="{E2BCDDBE-A65E-4C94-9C1B-178D75A330BB}" name="Date" dataDxfId="22"/>
    <tableColumn id="2" xr3:uid="{D6EB33BC-1A8D-4704-AF90-ADB553365900}" name="Month"/>
    <tableColumn id="3" xr3:uid="{14DE73FD-1296-4970-A3DC-6CF0A95AE214}" name="Emp ID"/>
    <tableColumn id="4" xr3:uid="{CF34D2A9-5803-4F77-8580-7A9632222AEA}" name="Employee Name"/>
    <tableColumn id="5" xr3:uid="{0E0D4CDF-0704-4E32-9C3A-815EF710CC1A}" name="Department"/>
    <tableColumn id="6" xr3:uid="{BF844D14-461F-4823-AAD9-0ABC2E1A5587}" name="Region"/>
    <tableColumn id="7" xr3:uid="{AE49E87C-E54C-457A-ABA2-CCF666436749}" name="Working Days"/>
    <tableColumn id="8" xr3:uid="{6284DD5A-6F75-42B2-BD9E-44005C489693}" name="Attendance Status"/>
    <tableColumn id="9" xr3:uid="{F00E44E0-79A0-499A-A734-95735D07535E}" name="Target Tasks"/>
    <tableColumn id="10" xr3:uid="{3C167A57-2198-42A2-9015-24BB5F71229C}" name="Completed Tasks"/>
    <tableColumn id="11" xr3:uid="{30934C6D-1DAF-4951-A37E-BC79CE5D5A7E}" name="Pending Tasks"/>
    <tableColumn id="12" xr3:uid="{B9017FD2-5697-4DF7-B25D-152AC2AA4F16}" name="Target Hours"/>
    <tableColumn id="13" xr3:uid="{0822C7F2-1DCD-4606-AF2E-A4000CA945E8}" name="Actual Hours"/>
    <tableColumn id="14" xr3:uid="{A1896C1C-14F6-4BE6-94C7-93B8A01E1E45}" name="Overtime Hours"/>
    <tableColumn id="15" xr3:uid="{506369C5-516B-49FF-A6BD-E81AB9C85CD1}" name="Productivity %"/>
    <tableColumn id="16" xr3:uid="{9D9FA369-350C-4131-8ADA-739C5C2A4490}" name="Quality Score %"/>
    <tableColumn id="17" xr3:uid="{59FF0450-DCC8-4C06-A16D-8731B565FCF8}" name="Achievement %"/>
    <tableColumn id="18" xr3:uid="{8B7FD54D-364E-4CC2-8EE3-EC4F73F30CC3}" name="Performance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776BD5-CD51-48F7-800B-145B753D36B5}" name="Table3" displayName="Table3" ref="A3:R17" totalsRowShown="0">
  <autoFilter ref="A3:R17" xr:uid="{DF776BD5-CD51-48F7-800B-145B753D36B5}"/>
  <tableColumns count="18">
    <tableColumn id="1" xr3:uid="{9F4D4C7B-FB59-4D2D-BD46-8535F44E779D}" name="Date" dataDxfId="21"/>
    <tableColumn id="2" xr3:uid="{9660A07A-7B5C-42AE-9FC2-10D7597A00E8}" name="Month"/>
    <tableColumn id="3" xr3:uid="{6CE71CBE-8DC3-43C0-A8BC-E04EFB8D6A03}" name="Emp ID"/>
    <tableColumn id="4" xr3:uid="{A6EE4D88-BC1D-4F83-9172-A1D5708EDB9C}" name="Employee Name"/>
    <tableColumn id="5" xr3:uid="{29085C67-D322-4EE8-9717-821F392B1032}" name="Department"/>
    <tableColumn id="6" xr3:uid="{941BB25C-054B-4F65-B1CC-E6F4E080AA95}" name="Region"/>
    <tableColumn id="7" xr3:uid="{4512FE30-FA7C-4FF8-9977-2493E71D8460}" name="Working Days"/>
    <tableColumn id="8" xr3:uid="{93723A4F-83FC-4FD4-91CC-97069F7EE085}" name="Attendance Status"/>
    <tableColumn id="9" xr3:uid="{FD43CD5A-2C76-42DD-A4A0-51733A4345B5}" name="Target Tasks"/>
    <tableColumn id="10" xr3:uid="{9FD6D660-111D-40E7-9A6E-31A66B28000A}" name="Completed Tasks"/>
    <tableColumn id="11" xr3:uid="{C5416E7B-F5F7-40CC-B39B-33C9368E362B}" name="Pending Tasks"/>
    <tableColumn id="12" xr3:uid="{793239E3-BC51-4CEF-BEEF-685F155EB7CB}" name="Target Hours"/>
    <tableColumn id="13" xr3:uid="{DED31A8E-D319-41BE-870A-32E63855B337}" name="Actual Hours"/>
    <tableColumn id="14" xr3:uid="{F065972F-C8B4-4BE6-940B-BAF26655630E}" name="Overtime Hours"/>
    <tableColumn id="15" xr3:uid="{022ECFBF-B515-46E3-8E3F-CDAB1185245B}" name="Productivity %"/>
    <tableColumn id="16" xr3:uid="{7B7F26BD-C80A-4BC8-836D-C961433C0E1B}" name="Quality Score %"/>
    <tableColumn id="17" xr3:uid="{45EBA442-4300-4689-BC60-EFD023AE8098}" name="Achievement %"/>
    <tableColumn id="18" xr3:uid="{05DEC7D6-98A8-4B68-8E34-636723DEC36C}" name="Performance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E7FB95-AEE7-45CA-A521-BA2C97CF9569}" name="Table1" displayName="Table1" ref="A1:R90" totalsRowShown="0" headerRowDxfId="20" dataDxfId="19" tableBorderDxfId="18">
  <autoFilter ref="A1:R90" xr:uid="{69FC0A94-E23B-4576-997B-E8EFE3ED05AC}"/>
  <tableColumns count="18">
    <tableColumn id="1" xr3:uid="{AC43BF7F-5E27-44C8-A205-26F114CA8FCF}" name="Date" dataDxfId="17"/>
    <tableColumn id="2" xr3:uid="{7FEED3FC-D153-4DD1-866B-35C4AB5282B7}" name="Month" dataDxfId="16"/>
    <tableColumn id="3" xr3:uid="{DCDB28CB-2F24-4051-851F-3579270C8163}" name="Emp ID" dataDxfId="15"/>
    <tableColumn id="4" xr3:uid="{27EC3123-4238-43F5-B7D7-D8A5B5B8A45F}" name="Employee Name" dataDxfId="14"/>
    <tableColumn id="5" xr3:uid="{E45D1BF5-B4EC-4FE4-8CE9-9096E183FB44}" name="Department" dataDxfId="13"/>
    <tableColumn id="6" xr3:uid="{D9FBEA35-452B-4FF4-970D-CC6B8D2A8F03}" name="Region" dataDxfId="12"/>
    <tableColumn id="7" xr3:uid="{EF25F711-6665-4989-90A8-ED289742265E}" name="Working Days" dataDxfId="11"/>
    <tableColumn id="8" xr3:uid="{3ED9D940-8769-4A6A-918E-C8DFA6B4A156}" name="Attendance Status" dataDxfId="10"/>
    <tableColumn id="9" xr3:uid="{1176ADA9-4C5D-4B3C-B12D-A2B61F4ECDDA}" name="Target Tasks" dataDxfId="9"/>
    <tableColumn id="10" xr3:uid="{8CE200D0-6DBD-48AD-91FD-17145A659135}" name="Completed Tasks" dataDxfId="8"/>
    <tableColumn id="11" xr3:uid="{7E358F37-4ADF-46DD-9D7B-7BAFF186BA07}" name="Pending Tasks" dataDxfId="7"/>
    <tableColumn id="12" xr3:uid="{12F77927-69AB-434F-9890-C8B93DCA16D1}" name="Target Hours" dataDxfId="6"/>
    <tableColumn id="13" xr3:uid="{D099350F-3C2D-4C35-932F-BA4C07A91BD6}" name="Actual Hours" dataDxfId="5"/>
    <tableColumn id="14" xr3:uid="{8274ADBD-B203-4B21-AF7C-AC7638F7AD6E}" name="Overtime Hours" dataDxfId="4"/>
    <tableColumn id="15" xr3:uid="{17C60453-F4A9-46BF-B473-8DB5393080E8}" name="Productivity %" dataDxfId="3"/>
    <tableColumn id="16" xr3:uid="{7E045E47-EB1F-47D3-8C6A-E4631BB408A2}" name="Quality Score %" dataDxfId="2"/>
    <tableColumn id="17" xr3:uid="{8A8468AF-374D-48F4-B7BF-C909B0F527E7}" name="Achievement %" dataDxfId="1"/>
    <tableColumn id="18" xr3:uid="{7173DE55-BAB1-4510-9C55-C01CE51D26FC}" name="Performance Statu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F8907-78EC-4F32-8933-C065B819D737}">
  <dimension ref="A1:R16"/>
  <sheetViews>
    <sheetView workbookViewId="0">
      <selection activeCell="A3" sqref="A3:R16"/>
    </sheetView>
  </sheetViews>
  <sheetFormatPr defaultRowHeight="15" x14ac:dyDescent="0.25"/>
  <cols>
    <col min="1" max="1" width="10.42578125" bestFit="1" customWidth="1"/>
    <col min="2" max="2" width="9.28515625" bestFit="1" customWidth="1"/>
    <col min="3" max="3" width="9.7109375" bestFit="1" customWidth="1"/>
    <col min="4" max="4" width="18.140625" bestFit="1" customWidth="1"/>
    <col min="5" max="5" width="14.140625" bestFit="1" customWidth="1"/>
    <col min="6" max="6" width="9.7109375" bestFit="1" customWidth="1"/>
    <col min="7" max="7" width="15.7109375" bestFit="1" customWidth="1"/>
    <col min="8" max="8" width="20" bestFit="1" customWidth="1"/>
    <col min="9" max="9" width="14.28515625" bestFit="1" customWidth="1"/>
    <col min="10" max="10" width="19" bestFit="1" customWidth="1"/>
    <col min="11" max="11" width="16.140625" bestFit="1" customWidth="1"/>
    <col min="12" max="13" width="14.7109375" bestFit="1" customWidth="1"/>
    <col min="14" max="14" width="17.7109375" bestFit="1" customWidth="1"/>
    <col min="15" max="15" width="16.28515625" bestFit="1" customWidth="1"/>
    <col min="16" max="16" width="17.42578125" bestFit="1" customWidth="1"/>
    <col min="17" max="17" width="17.28515625" bestFit="1" customWidth="1"/>
    <col min="18" max="18" width="21.28515625" bestFit="1" customWidth="1"/>
  </cols>
  <sheetData>
    <row r="1" spans="1:18" x14ac:dyDescent="0.25">
      <c r="A1" s="14" t="s">
        <v>97</v>
      </c>
    </row>
    <row r="3" spans="1:18"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25">
      <c r="A4" s="13">
        <v>46217</v>
      </c>
      <c r="B4" t="s">
        <v>80</v>
      </c>
      <c r="C4" t="s">
        <v>67</v>
      </c>
      <c r="D4" t="s">
        <v>68</v>
      </c>
      <c r="E4" t="s">
        <v>55</v>
      </c>
      <c r="F4" t="s">
        <v>32</v>
      </c>
      <c r="G4">
        <v>21</v>
      </c>
      <c r="H4" t="s">
        <v>23</v>
      </c>
      <c r="I4">
        <v>13</v>
      </c>
      <c r="J4">
        <v>16</v>
      </c>
      <c r="K4">
        <v>0</v>
      </c>
      <c r="L4">
        <v>8</v>
      </c>
      <c r="M4">
        <v>8.3000000000000007</v>
      </c>
      <c r="N4">
        <v>0.3</v>
      </c>
      <c r="O4">
        <v>1</v>
      </c>
      <c r="P4">
        <v>1</v>
      </c>
      <c r="Q4">
        <v>1</v>
      </c>
      <c r="R4" t="s">
        <v>24</v>
      </c>
    </row>
    <row r="5" spans="1:18" x14ac:dyDescent="0.25">
      <c r="A5" s="13">
        <v>46205</v>
      </c>
      <c r="B5" t="s">
        <v>80</v>
      </c>
      <c r="C5" t="s">
        <v>53</v>
      </c>
      <c r="D5" t="s">
        <v>54</v>
      </c>
      <c r="E5" t="s">
        <v>55</v>
      </c>
      <c r="F5" t="s">
        <v>22</v>
      </c>
      <c r="G5">
        <v>22</v>
      </c>
      <c r="H5" t="s">
        <v>23</v>
      </c>
      <c r="I5">
        <v>15</v>
      </c>
      <c r="J5">
        <v>12</v>
      </c>
      <c r="K5">
        <v>3</v>
      </c>
      <c r="L5">
        <v>8</v>
      </c>
      <c r="M5">
        <v>9.1</v>
      </c>
      <c r="N5">
        <v>1.1000000000000001</v>
      </c>
      <c r="O5">
        <v>0.76800000000000002</v>
      </c>
      <c r="P5">
        <v>0.73399999999999999</v>
      </c>
      <c r="Q5">
        <v>0.754</v>
      </c>
      <c r="R5" t="s">
        <v>50</v>
      </c>
    </row>
    <row r="6" spans="1:18" x14ac:dyDescent="0.25">
      <c r="A6" s="13">
        <v>46203</v>
      </c>
      <c r="B6" t="s">
        <v>79</v>
      </c>
      <c r="C6" t="s">
        <v>72</v>
      </c>
      <c r="D6" t="s">
        <v>73</v>
      </c>
      <c r="E6" t="s">
        <v>55</v>
      </c>
      <c r="F6" t="s">
        <v>27</v>
      </c>
      <c r="G6">
        <v>20</v>
      </c>
      <c r="H6" t="s">
        <v>23</v>
      </c>
      <c r="I6">
        <v>14</v>
      </c>
      <c r="J6">
        <v>17</v>
      </c>
      <c r="K6">
        <v>0</v>
      </c>
      <c r="L6">
        <v>9</v>
      </c>
      <c r="M6">
        <v>9.1</v>
      </c>
      <c r="N6">
        <v>0.1</v>
      </c>
      <c r="O6">
        <v>1</v>
      </c>
      <c r="P6">
        <v>0.88400000000000001</v>
      </c>
      <c r="Q6">
        <v>0.95399999999999996</v>
      </c>
      <c r="R6" t="s">
        <v>24</v>
      </c>
    </row>
    <row r="7" spans="1:18" x14ac:dyDescent="0.25">
      <c r="A7" s="13">
        <v>46165</v>
      </c>
      <c r="B7" t="s">
        <v>78</v>
      </c>
      <c r="C7" t="s">
        <v>53</v>
      </c>
      <c r="D7" t="s">
        <v>54</v>
      </c>
      <c r="E7" t="s">
        <v>55</v>
      </c>
      <c r="F7" t="s">
        <v>22</v>
      </c>
      <c r="G7">
        <v>22</v>
      </c>
      <c r="H7" t="s">
        <v>23</v>
      </c>
      <c r="I7">
        <v>17</v>
      </c>
      <c r="J7">
        <v>16</v>
      </c>
      <c r="K7">
        <v>1</v>
      </c>
      <c r="L7">
        <v>9</v>
      </c>
      <c r="M7">
        <v>10.7</v>
      </c>
      <c r="N7">
        <v>1.7</v>
      </c>
      <c r="O7">
        <v>0.997</v>
      </c>
      <c r="P7">
        <v>1</v>
      </c>
      <c r="Q7">
        <v>0.998</v>
      </c>
      <c r="R7" t="s">
        <v>24</v>
      </c>
    </row>
    <row r="8" spans="1:18" x14ac:dyDescent="0.25">
      <c r="A8" s="13">
        <v>46163</v>
      </c>
      <c r="B8" t="s">
        <v>78</v>
      </c>
      <c r="C8" t="s">
        <v>72</v>
      </c>
      <c r="D8" t="s">
        <v>73</v>
      </c>
      <c r="E8" t="s">
        <v>55</v>
      </c>
      <c r="F8" t="s">
        <v>27</v>
      </c>
      <c r="G8">
        <v>22</v>
      </c>
      <c r="H8" t="s">
        <v>28</v>
      </c>
      <c r="I8">
        <v>19</v>
      </c>
      <c r="J8">
        <v>21</v>
      </c>
      <c r="K8">
        <v>0</v>
      </c>
      <c r="L8">
        <v>7</v>
      </c>
      <c r="M8">
        <v>7.4</v>
      </c>
      <c r="N8">
        <v>0.4</v>
      </c>
      <c r="O8">
        <v>1</v>
      </c>
      <c r="P8">
        <v>0.89500000000000002</v>
      </c>
      <c r="Q8">
        <v>0.95799999999999996</v>
      </c>
      <c r="R8" t="s">
        <v>24</v>
      </c>
    </row>
    <row r="9" spans="1:18" x14ac:dyDescent="0.25">
      <c r="A9" s="13">
        <v>46137</v>
      </c>
      <c r="B9" t="s">
        <v>75</v>
      </c>
      <c r="C9" t="s">
        <v>67</v>
      </c>
      <c r="D9" t="s">
        <v>68</v>
      </c>
      <c r="E9" t="s">
        <v>55</v>
      </c>
      <c r="F9" t="s">
        <v>32</v>
      </c>
      <c r="G9">
        <v>22</v>
      </c>
      <c r="H9" t="s">
        <v>23</v>
      </c>
      <c r="I9">
        <v>16</v>
      </c>
      <c r="J9">
        <v>13</v>
      </c>
      <c r="K9">
        <v>3</v>
      </c>
      <c r="L9">
        <v>8</v>
      </c>
      <c r="M9">
        <v>7.7</v>
      </c>
      <c r="N9">
        <v>0</v>
      </c>
      <c r="O9">
        <v>0.82599999999999996</v>
      </c>
      <c r="P9">
        <v>0.73899999999999999</v>
      </c>
      <c r="Q9">
        <v>0.79100000000000004</v>
      </c>
      <c r="R9" t="s">
        <v>50</v>
      </c>
    </row>
    <row r="10" spans="1:18" x14ac:dyDescent="0.25">
      <c r="A10" s="13">
        <v>46125</v>
      </c>
      <c r="B10" t="s">
        <v>75</v>
      </c>
      <c r="C10" t="s">
        <v>53</v>
      </c>
      <c r="D10" t="s">
        <v>54</v>
      </c>
      <c r="E10" t="s">
        <v>55</v>
      </c>
      <c r="F10" t="s">
        <v>22</v>
      </c>
      <c r="G10">
        <v>22</v>
      </c>
      <c r="H10" t="s">
        <v>46</v>
      </c>
      <c r="I10">
        <v>8</v>
      </c>
      <c r="J10">
        <v>10</v>
      </c>
      <c r="K10">
        <v>0</v>
      </c>
      <c r="L10">
        <v>9</v>
      </c>
      <c r="M10">
        <v>8.6</v>
      </c>
      <c r="N10">
        <v>0</v>
      </c>
      <c r="O10">
        <v>1</v>
      </c>
      <c r="P10">
        <v>1</v>
      </c>
      <c r="Q10">
        <v>1</v>
      </c>
      <c r="R10" t="s">
        <v>24</v>
      </c>
    </row>
    <row r="11" spans="1:18" x14ac:dyDescent="0.25">
      <c r="A11" s="13">
        <v>46123</v>
      </c>
      <c r="B11" t="s">
        <v>75</v>
      </c>
      <c r="C11" t="s">
        <v>72</v>
      </c>
      <c r="D11" t="s">
        <v>73</v>
      </c>
      <c r="E11" t="s">
        <v>55</v>
      </c>
      <c r="F11" t="s">
        <v>27</v>
      </c>
      <c r="G11">
        <v>21</v>
      </c>
      <c r="H11" t="s">
        <v>23</v>
      </c>
      <c r="I11">
        <v>10</v>
      </c>
      <c r="J11">
        <v>10</v>
      </c>
      <c r="K11">
        <v>0</v>
      </c>
      <c r="L11">
        <v>9</v>
      </c>
      <c r="M11">
        <v>9.4</v>
      </c>
      <c r="N11">
        <v>0.4</v>
      </c>
      <c r="O11">
        <v>1</v>
      </c>
      <c r="P11">
        <v>1</v>
      </c>
      <c r="Q11">
        <v>1</v>
      </c>
      <c r="R11" t="s">
        <v>24</v>
      </c>
    </row>
    <row r="12" spans="1:18" x14ac:dyDescent="0.25">
      <c r="A12" s="13">
        <v>46097</v>
      </c>
      <c r="B12" t="s">
        <v>71</v>
      </c>
      <c r="C12" t="s">
        <v>67</v>
      </c>
      <c r="D12" t="s">
        <v>68</v>
      </c>
      <c r="E12" t="s">
        <v>55</v>
      </c>
      <c r="F12" t="s">
        <v>32</v>
      </c>
      <c r="G12">
        <v>20</v>
      </c>
      <c r="H12" t="s">
        <v>23</v>
      </c>
      <c r="I12">
        <v>20</v>
      </c>
      <c r="J12">
        <v>23</v>
      </c>
      <c r="K12">
        <v>0</v>
      </c>
      <c r="L12">
        <v>9</v>
      </c>
      <c r="M12">
        <v>6.8</v>
      </c>
      <c r="N12">
        <v>0</v>
      </c>
      <c r="O12">
        <v>1</v>
      </c>
      <c r="P12">
        <v>1</v>
      </c>
      <c r="Q12">
        <v>1</v>
      </c>
      <c r="R12" t="s">
        <v>24</v>
      </c>
    </row>
    <row r="13" spans="1:18" x14ac:dyDescent="0.25">
      <c r="A13" s="13">
        <v>46085</v>
      </c>
      <c r="B13" t="s">
        <v>71</v>
      </c>
      <c r="C13" t="s">
        <v>53</v>
      </c>
      <c r="D13" t="s">
        <v>54</v>
      </c>
      <c r="E13" t="s">
        <v>55</v>
      </c>
      <c r="F13" t="s">
        <v>22</v>
      </c>
      <c r="G13">
        <v>20</v>
      </c>
      <c r="H13" t="s">
        <v>23</v>
      </c>
      <c r="I13">
        <v>13</v>
      </c>
      <c r="J13">
        <v>10</v>
      </c>
      <c r="K13">
        <v>3</v>
      </c>
      <c r="L13">
        <v>9</v>
      </c>
      <c r="M13">
        <v>11</v>
      </c>
      <c r="N13">
        <v>2</v>
      </c>
      <c r="O13">
        <v>0.72699999999999998</v>
      </c>
      <c r="P13">
        <v>0.754</v>
      </c>
      <c r="Q13">
        <v>0.73799999999999999</v>
      </c>
      <c r="R13" t="s">
        <v>74</v>
      </c>
    </row>
    <row r="14" spans="1:18" x14ac:dyDescent="0.25">
      <c r="A14" s="13">
        <v>46045</v>
      </c>
      <c r="B14" t="s">
        <v>18</v>
      </c>
      <c r="C14" t="s">
        <v>53</v>
      </c>
      <c r="D14" t="s">
        <v>54</v>
      </c>
      <c r="E14" t="s">
        <v>55</v>
      </c>
      <c r="F14" t="s">
        <v>22</v>
      </c>
      <c r="G14">
        <v>22</v>
      </c>
      <c r="H14" t="s">
        <v>23</v>
      </c>
      <c r="I14">
        <v>17</v>
      </c>
      <c r="J14">
        <v>19</v>
      </c>
      <c r="K14">
        <v>0</v>
      </c>
      <c r="L14">
        <v>7</v>
      </c>
      <c r="M14">
        <v>6.5</v>
      </c>
      <c r="N14">
        <v>0</v>
      </c>
      <c r="O14">
        <v>1</v>
      </c>
      <c r="P14">
        <v>0.93400000000000005</v>
      </c>
      <c r="Q14">
        <v>0.97399999999999998</v>
      </c>
      <c r="R14" t="s">
        <v>24</v>
      </c>
    </row>
    <row r="15" spans="1:18" x14ac:dyDescent="0.25">
      <c r="A15" s="13">
        <v>46083</v>
      </c>
      <c r="B15" t="s">
        <v>71</v>
      </c>
      <c r="C15" t="s">
        <v>72</v>
      </c>
      <c r="D15" t="s">
        <v>73</v>
      </c>
      <c r="E15" t="s">
        <v>55</v>
      </c>
      <c r="F15" t="s">
        <v>27</v>
      </c>
      <c r="G15">
        <v>20</v>
      </c>
      <c r="H15" t="s">
        <v>46</v>
      </c>
      <c r="I15">
        <v>11</v>
      </c>
      <c r="J15">
        <v>8</v>
      </c>
      <c r="K15">
        <v>3</v>
      </c>
      <c r="L15">
        <v>7</v>
      </c>
      <c r="M15">
        <v>6.3</v>
      </c>
      <c r="N15">
        <v>0</v>
      </c>
      <c r="O15">
        <v>0.76100000000000001</v>
      </c>
      <c r="P15">
        <v>0.65400000000000003</v>
      </c>
      <c r="Q15">
        <v>0.71799999999999997</v>
      </c>
      <c r="R15" t="s">
        <v>74</v>
      </c>
    </row>
    <row r="16" spans="1:18" x14ac:dyDescent="0.25">
      <c r="A16" s="13">
        <v>46057</v>
      </c>
      <c r="B16" t="s">
        <v>64</v>
      </c>
      <c r="C16" t="s">
        <v>67</v>
      </c>
      <c r="D16" t="s">
        <v>68</v>
      </c>
      <c r="E16" t="s">
        <v>55</v>
      </c>
      <c r="F16" t="s">
        <v>32</v>
      </c>
      <c r="G16">
        <v>20</v>
      </c>
      <c r="H16" t="s">
        <v>46</v>
      </c>
      <c r="I16">
        <v>15</v>
      </c>
      <c r="J16">
        <v>12</v>
      </c>
      <c r="K16">
        <v>3</v>
      </c>
      <c r="L16">
        <v>7</v>
      </c>
      <c r="M16">
        <v>7.3</v>
      </c>
      <c r="N16">
        <v>0.3</v>
      </c>
      <c r="O16">
        <v>0.85799999999999998</v>
      </c>
      <c r="P16">
        <v>0.77200000000000002</v>
      </c>
      <c r="Q16">
        <v>0.82399999999999995</v>
      </c>
      <c r="R16" t="s">
        <v>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BFBF2-2178-40BA-A23F-99B5421A6792}">
  <dimension ref="A1:R17"/>
  <sheetViews>
    <sheetView workbookViewId="0">
      <selection activeCell="A3" sqref="A3:R17"/>
    </sheetView>
  </sheetViews>
  <sheetFormatPr defaultRowHeight="15" x14ac:dyDescent="0.25"/>
  <cols>
    <col min="1" max="1" width="10.42578125" bestFit="1" customWidth="1"/>
    <col min="2" max="2" width="9.28515625" bestFit="1" customWidth="1"/>
    <col min="3" max="3" width="9.7109375" bestFit="1" customWidth="1"/>
    <col min="4" max="4" width="18.140625" bestFit="1" customWidth="1"/>
    <col min="5" max="5" width="14.140625" bestFit="1" customWidth="1"/>
    <col min="6" max="6" width="9.7109375" bestFit="1" customWidth="1"/>
    <col min="7" max="7" width="15.7109375" bestFit="1" customWidth="1"/>
    <col min="8" max="8" width="20" bestFit="1" customWidth="1"/>
    <col min="9" max="9" width="14.28515625" bestFit="1" customWidth="1"/>
    <col min="10" max="10" width="19" bestFit="1" customWidth="1"/>
    <col min="11" max="11" width="16.140625" bestFit="1" customWidth="1"/>
    <col min="12" max="13" width="14.7109375" bestFit="1" customWidth="1"/>
    <col min="14" max="14" width="17.7109375" bestFit="1" customWidth="1"/>
    <col min="15" max="15" width="16.28515625" bestFit="1" customWidth="1"/>
    <col min="16" max="16" width="17.42578125" bestFit="1" customWidth="1"/>
    <col min="17" max="17" width="17.28515625" bestFit="1" customWidth="1"/>
    <col min="18" max="18" width="21.28515625" bestFit="1" customWidth="1"/>
  </cols>
  <sheetData>
    <row r="1" spans="1:18" x14ac:dyDescent="0.25">
      <c r="A1" s="14" t="s">
        <v>98</v>
      </c>
    </row>
    <row r="3" spans="1:18"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25">
      <c r="A4" s="13">
        <v>46213</v>
      </c>
      <c r="B4" t="s">
        <v>80</v>
      </c>
      <c r="C4" t="s">
        <v>62</v>
      </c>
      <c r="D4" t="s">
        <v>63</v>
      </c>
      <c r="E4" t="s">
        <v>43</v>
      </c>
      <c r="F4" t="s">
        <v>38</v>
      </c>
      <c r="G4">
        <v>22</v>
      </c>
      <c r="H4" t="s">
        <v>23</v>
      </c>
      <c r="I4">
        <v>14</v>
      </c>
      <c r="J4">
        <v>15</v>
      </c>
      <c r="K4">
        <v>30</v>
      </c>
      <c r="L4">
        <v>9</v>
      </c>
      <c r="M4">
        <v>7.4</v>
      </c>
      <c r="N4">
        <v>0</v>
      </c>
      <c r="O4">
        <v>1</v>
      </c>
      <c r="P4">
        <v>0.89800000000000002</v>
      </c>
      <c r="Q4">
        <v>0.95899999999999996</v>
      </c>
      <c r="R4" t="s">
        <v>24</v>
      </c>
    </row>
    <row r="5" spans="1:18" x14ac:dyDescent="0.25">
      <c r="A5" s="13">
        <v>46197</v>
      </c>
      <c r="B5" t="s">
        <v>79</v>
      </c>
      <c r="C5" t="s">
        <v>44</v>
      </c>
      <c r="D5" t="s">
        <v>45</v>
      </c>
      <c r="E5" t="s">
        <v>43</v>
      </c>
      <c r="F5" t="s">
        <v>22</v>
      </c>
      <c r="G5">
        <v>21</v>
      </c>
      <c r="H5" t="s">
        <v>23</v>
      </c>
      <c r="I5">
        <v>19</v>
      </c>
      <c r="J5">
        <v>18</v>
      </c>
      <c r="K5">
        <v>1</v>
      </c>
      <c r="L5">
        <v>7</v>
      </c>
      <c r="M5">
        <v>7.4</v>
      </c>
      <c r="N5">
        <v>0.4</v>
      </c>
      <c r="O5">
        <v>0.91100000000000003</v>
      </c>
      <c r="P5">
        <v>0.86099999999999999</v>
      </c>
      <c r="Q5">
        <v>0.89100000000000001</v>
      </c>
      <c r="R5" t="s">
        <v>50</v>
      </c>
    </row>
    <row r="6" spans="1:18" x14ac:dyDescent="0.25">
      <c r="A6" s="13">
        <v>46195</v>
      </c>
      <c r="B6" t="s">
        <v>79</v>
      </c>
      <c r="C6" t="s">
        <v>41</v>
      </c>
      <c r="D6" t="s">
        <v>42</v>
      </c>
      <c r="E6" t="s">
        <v>43</v>
      </c>
      <c r="F6" t="s">
        <v>32</v>
      </c>
      <c r="G6">
        <v>20</v>
      </c>
      <c r="H6" t="s">
        <v>28</v>
      </c>
      <c r="I6">
        <v>12</v>
      </c>
      <c r="J6">
        <v>15</v>
      </c>
      <c r="K6">
        <v>0</v>
      </c>
      <c r="L6">
        <v>9</v>
      </c>
      <c r="M6">
        <v>10</v>
      </c>
      <c r="N6">
        <v>1</v>
      </c>
      <c r="O6">
        <v>1</v>
      </c>
      <c r="P6">
        <v>0.93300000000000005</v>
      </c>
      <c r="Q6">
        <v>0.97299999999999998</v>
      </c>
      <c r="R6" t="s">
        <v>24</v>
      </c>
    </row>
    <row r="7" spans="1:18" x14ac:dyDescent="0.25">
      <c r="A7" s="13">
        <v>46173</v>
      </c>
      <c r="B7" t="s">
        <v>78</v>
      </c>
      <c r="C7" t="s">
        <v>62</v>
      </c>
      <c r="D7" t="s">
        <v>63</v>
      </c>
      <c r="E7" t="s">
        <v>43</v>
      </c>
      <c r="F7" t="s">
        <v>38</v>
      </c>
      <c r="G7">
        <v>21</v>
      </c>
      <c r="H7" t="s">
        <v>23</v>
      </c>
      <c r="I7">
        <v>14</v>
      </c>
      <c r="J7">
        <v>17</v>
      </c>
      <c r="K7">
        <v>0</v>
      </c>
      <c r="L7">
        <v>9</v>
      </c>
      <c r="M7">
        <v>9.9</v>
      </c>
      <c r="N7">
        <v>0.9</v>
      </c>
      <c r="O7">
        <v>1</v>
      </c>
      <c r="P7">
        <v>0.95099999999999996</v>
      </c>
      <c r="Q7">
        <v>0.98</v>
      </c>
      <c r="R7" t="s">
        <v>24</v>
      </c>
    </row>
    <row r="8" spans="1:18" x14ac:dyDescent="0.25">
      <c r="A8" s="13">
        <v>46157</v>
      </c>
      <c r="B8" t="s">
        <v>78</v>
      </c>
      <c r="C8" t="s">
        <v>44</v>
      </c>
      <c r="D8" t="s">
        <v>45</v>
      </c>
      <c r="E8" t="s">
        <v>43</v>
      </c>
      <c r="F8" t="s">
        <v>22</v>
      </c>
      <c r="G8">
        <v>21</v>
      </c>
      <c r="H8" t="s">
        <v>23</v>
      </c>
      <c r="I8">
        <v>9</v>
      </c>
      <c r="J8">
        <v>10</v>
      </c>
      <c r="K8">
        <v>0</v>
      </c>
      <c r="L8">
        <v>8</v>
      </c>
      <c r="M8">
        <v>9.1</v>
      </c>
      <c r="N8">
        <v>1.1000000000000001</v>
      </c>
      <c r="O8">
        <v>1</v>
      </c>
      <c r="P8">
        <v>1</v>
      </c>
      <c r="Q8">
        <v>1</v>
      </c>
      <c r="R8" t="s">
        <v>24</v>
      </c>
    </row>
    <row r="9" spans="1:18" x14ac:dyDescent="0.25">
      <c r="A9" s="13">
        <v>46155</v>
      </c>
      <c r="B9" t="s">
        <v>78</v>
      </c>
      <c r="C9" t="s">
        <v>41</v>
      </c>
      <c r="D9" t="s">
        <v>42</v>
      </c>
      <c r="E9" t="s">
        <v>43</v>
      </c>
      <c r="F9" t="s">
        <v>32</v>
      </c>
      <c r="G9">
        <v>22</v>
      </c>
      <c r="H9" t="s">
        <v>23</v>
      </c>
      <c r="I9">
        <v>8</v>
      </c>
      <c r="J9">
        <v>5</v>
      </c>
      <c r="K9">
        <v>50</v>
      </c>
      <c r="L9">
        <v>8</v>
      </c>
      <c r="M9">
        <v>7.9</v>
      </c>
      <c r="N9">
        <v>0</v>
      </c>
      <c r="O9">
        <v>0.57399999999999995</v>
      </c>
      <c r="P9">
        <v>0.66600000000000004</v>
      </c>
      <c r="Q9">
        <v>0.61099999999999999</v>
      </c>
      <c r="R9" t="s">
        <v>74</v>
      </c>
    </row>
    <row r="10" spans="1:18" x14ac:dyDescent="0.25">
      <c r="A10" s="13">
        <v>46035</v>
      </c>
      <c r="B10" t="s">
        <v>18</v>
      </c>
      <c r="C10" t="s">
        <v>41</v>
      </c>
      <c r="D10" t="s">
        <v>42</v>
      </c>
      <c r="E10" t="s">
        <v>43</v>
      </c>
      <c r="F10" t="s">
        <v>32</v>
      </c>
      <c r="G10">
        <v>21</v>
      </c>
      <c r="H10" t="s">
        <v>23</v>
      </c>
      <c r="I10">
        <v>19</v>
      </c>
      <c r="J10">
        <v>19</v>
      </c>
      <c r="K10">
        <v>0</v>
      </c>
      <c r="L10">
        <v>9</v>
      </c>
      <c r="M10">
        <v>10.7</v>
      </c>
      <c r="N10">
        <v>1.7</v>
      </c>
      <c r="O10">
        <v>0.94</v>
      </c>
      <c r="P10">
        <v>1</v>
      </c>
      <c r="Q10">
        <v>0.96399999999999997</v>
      </c>
      <c r="R10" t="s">
        <v>24</v>
      </c>
    </row>
    <row r="11" spans="1:18" x14ac:dyDescent="0.25">
      <c r="A11" s="13">
        <v>46037</v>
      </c>
      <c r="B11" t="s">
        <v>18</v>
      </c>
      <c r="C11" t="s">
        <v>44</v>
      </c>
      <c r="D11" t="s">
        <v>45</v>
      </c>
      <c r="E11" t="s">
        <v>43</v>
      </c>
      <c r="F11" t="s">
        <v>22</v>
      </c>
      <c r="G11">
        <v>20</v>
      </c>
      <c r="H11" t="s">
        <v>46</v>
      </c>
      <c r="I11">
        <v>12</v>
      </c>
      <c r="J11">
        <v>15</v>
      </c>
      <c r="K11">
        <v>0</v>
      </c>
      <c r="L11">
        <v>9</v>
      </c>
      <c r="M11">
        <v>9.8000000000000007</v>
      </c>
      <c r="N11">
        <v>0.8</v>
      </c>
      <c r="O11">
        <v>1</v>
      </c>
      <c r="P11">
        <v>1</v>
      </c>
      <c r="Q11">
        <v>1</v>
      </c>
      <c r="R11" t="s">
        <v>24</v>
      </c>
    </row>
    <row r="12" spans="1:18" x14ac:dyDescent="0.25">
      <c r="A12" s="13">
        <v>46133</v>
      </c>
      <c r="B12" t="s">
        <v>75</v>
      </c>
      <c r="C12" t="s">
        <v>62</v>
      </c>
      <c r="D12" t="s">
        <v>63</v>
      </c>
      <c r="E12" t="s">
        <v>43</v>
      </c>
      <c r="F12" t="s">
        <v>38</v>
      </c>
      <c r="G12">
        <v>21</v>
      </c>
      <c r="H12" t="s">
        <v>23</v>
      </c>
      <c r="I12">
        <v>8</v>
      </c>
      <c r="J12">
        <v>7</v>
      </c>
      <c r="K12">
        <v>1</v>
      </c>
      <c r="L12">
        <v>7</v>
      </c>
      <c r="M12">
        <v>8</v>
      </c>
      <c r="N12">
        <v>1</v>
      </c>
      <c r="O12">
        <v>0.89700000000000002</v>
      </c>
      <c r="P12">
        <v>0.83499999999999996</v>
      </c>
      <c r="Q12">
        <v>0.872</v>
      </c>
      <c r="R12" t="s">
        <v>50</v>
      </c>
    </row>
    <row r="13" spans="1:18" x14ac:dyDescent="0.25">
      <c r="A13" s="13">
        <v>46117</v>
      </c>
      <c r="B13" t="s">
        <v>75</v>
      </c>
      <c r="C13" t="s">
        <v>44</v>
      </c>
      <c r="D13" t="s">
        <v>45</v>
      </c>
      <c r="E13" t="s">
        <v>43</v>
      </c>
      <c r="F13" t="s">
        <v>22</v>
      </c>
      <c r="G13">
        <v>20</v>
      </c>
      <c r="H13" t="s">
        <v>23</v>
      </c>
      <c r="I13">
        <v>14</v>
      </c>
      <c r="J13">
        <v>12</v>
      </c>
      <c r="K13">
        <v>2</v>
      </c>
      <c r="L13">
        <v>9</v>
      </c>
      <c r="M13">
        <v>10.199999999999999</v>
      </c>
      <c r="N13">
        <v>1.2</v>
      </c>
      <c r="O13">
        <v>0.88</v>
      </c>
      <c r="P13">
        <v>0.86099999999999999</v>
      </c>
      <c r="Q13">
        <v>0.872</v>
      </c>
      <c r="R13" t="s">
        <v>50</v>
      </c>
    </row>
    <row r="14" spans="1:18" x14ac:dyDescent="0.25">
      <c r="A14" s="13">
        <v>46093</v>
      </c>
      <c r="B14" t="s">
        <v>71</v>
      </c>
      <c r="C14" t="s">
        <v>62</v>
      </c>
      <c r="D14" t="s">
        <v>63</v>
      </c>
      <c r="E14" t="s">
        <v>43</v>
      </c>
      <c r="F14" t="s">
        <v>38</v>
      </c>
      <c r="G14">
        <v>20</v>
      </c>
      <c r="H14" t="s">
        <v>23</v>
      </c>
      <c r="I14">
        <v>19</v>
      </c>
      <c r="J14">
        <v>18</v>
      </c>
      <c r="K14">
        <v>1</v>
      </c>
      <c r="L14">
        <v>7</v>
      </c>
      <c r="M14">
        <v>5.7</v>
      </c>
      <c r="N14">
        <v>0</v>
      </c>
      <c r="O14">
        <v>0.90700000000000003</v>
      </c>
      <c r="P14">
        <v>0.82899999999999996</v>
      </c>
      <c r="Q14">
        <v>0.876</v>
      </c>
      <c r="R14" t="s">
        <v>50</v>
      </c>
    </row>
    <row r="15" spans="1:18" x14ac:dyDescent="0.25">
      <c r="A15" s="13">
        <v>46077</v>
      </c>
      <c r="B15" t="s">
        <v>64</v>
      </c>
      <c r="C15" t="s">
        <v>44</v>
      </c>
      <c r="D15" t="s">
        <v>45</v>
      </c>
      <c r="E15" t="s">
        <v>43</v>
      </c>
      <c r="F15" t="s">
        <v>22</v>
      </c>
      <c r="G15">
        <v>22</v>
      </c>
      <c r="H15" t="s">
        <v>46</v>
      </c>
      <c r="I15">
        <v>14</v>
      </c>
      <c r="J15">
        <v>12</v>
      </c>
      <c r="K15">
        <v>2</v>
      </c>
      <c r="L15">
        <v>9</v>
      </c>
      <c r="M15">
        <v>9.4</v>
      </c>
      <c r="N15">
        <v>0.4</v>
      </c>
      <c r="O15">
        <v>0.89800000000000002</v>
      </c>
      <c r="P15">
        <v>0.93</v>
      </c>
      <c r="Q15">
        <v>0.91100000000000003</v>
      </c>
      <c r="R15" t="s">
        <v>24</v>
      </c>
    </row>
    <row r="16" spans="1:18" x14ac:dyDescent="0.25">
      <c r="A16" s="13">
        <v>46075</v>
      </c>
      <c r="B16" t="s">
        <v>64</v>
      </c>
      <c r="C16" t="s">
        <v>41</v>
      </c>
      <c r="D16" t="s">
        <v>42</v>
      </c>
      <c r="E16" t="s">
        <v>43</v>
      </c>
      <c r="F16" t="s">
        <v>32</v>
      </c>
      <c r="G16">
        <v>22</v>
      </c>
      <c r="H16" t="s">
        <v>23</v>
      </c>
      <c r="I16">
        <v>10</v>
      </c>
      <c r="J16">
        <v>12</v>
      </c>
      <c r="K16">
        <v>0</v>
      </c>
      <c r="L16">
        <v>8</v>
      </c>
      <c r="M16">
        <v>6.7</v>
      </c>
      <c r="N16">
        <v>0</v>
      </c>
      <c r="O16">
        <v>1</v>
      </c>
      <c r="P16">
        <v>0.91600000000000004</v>
      </c>
      <c r="Q16">
        <v>0.96599999999999997</v>
      </c>
      <c r="R16" t="s">
        <v>24</v>
      </c>
    </row>
    <row r="17" spans="1:18" x14ac:dyDescent="0.25">
      <c r="A17" s="13">
        <v>46053</v>
      </c>
      <c r="B17" t="s">
        <v>18</v>
      </c>
      <c r="C17" t="s">
        <v>62</v>
      </c>
      <c r="D17" t="s">
        <v>63</v>
      </c>
      <c r="E17" t="s">
        <v>43</v>
      </c>
      <c r="F17" t="s">
        <v>38</v>
      </c>
      <c r="G17">
        <v>22</v>
      </c>
      <c r="H17" t="s">
        <v>23</v>
      </c>
      <c r="I17">
        <v>10</v>
      </c>
      <c r="J17">
        <v>9</v>
      </c>
      <c r="K17">
        <v>1</v>
      </c>
      <c r="L17">
        <v>7</v>
      </c>
      <c r="M17">
        <v>6.4</v>
      </c>
      <c r="N17">
        <v>0</v>
      </c>
      <c r="O17">
        <v>0.85899999999999999</v>
      </c>
      <c r="P17">
        <v>0.86299999999999999</v>
      </c>
      <c r="Q17">
        <v>0.86099999999999999</v>
      </c>
      <c r="R17" t="s">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982FE-6C8B-4578-A489-8B805CDAEBFD}">
  <dimension ref="A3:O22"/>
  <sheetViews>
    <sheetView showGridLines="0" topLeftCell="C1" workbookViewId="0">
      <selection activeCell="AB17" sqref="AB17"/>
    </sheetView>
  </sheetViews>
  <sheetFormatPr defaultRowHeight="15" x14ac:dyDescent="0.25"/>
  <cols>
    <col min="1" max="1" width="20.140625" customWidth="1"/>
    <col min="2" max="2" width="25.140625" bestFit="1" customWidth="1"/>
    <col min="4" max="4" width="18.140625" bestFit="1" customWidth="1"/>
    <col min="5" max="5" width="24.140625" bestFit="1" customWidth="1"/>
    <col min="7" max="7" width="14.140625" bestFit="1" customWidth="1"/>
    <col min="8" max="8" width="24.140625" bestFit="1" customWidth="1"/>
    <col min="9" max="9" width="20.7109375" bestFit="1" customWidth="1"/>
    <col min="10" max="10" width="11.28515625" bestFit="1" customWidth="1"/>
    <col min="11" max="11" width="20.140625" bestFit="1" customWidth="1"/>
    <col min="12" max="12" width="15.85546875" bestFit="1" customWidth="1"/>
    <col min="13" max="13" width="18.140625" bestFit="1" customWidth="1"/>
    <col min="14" max="14" width="20.140625" bestFit="1" customWidth="1"/>
    <col min="15" max="15" width="15.85546875" bestFit="1" customWidth="1"/>
  </cols>
  <sheetData>
    <row r="3" spans="1:15" x14ac:dyDescent="0.25">
      <c r="D3" s="8" t="s">
        <v>4</v>
      </c>
      <c r="E3" t="s">
        <v>82</v>
      </c>
      <c r="G3" s="8" t="s">
        <v>4</v>
      </c>
      <c r="H3" t="s">
        <v>83</v>
      </c>
      <c r="J3" s="8" t="s">
        <v>5</v>
      </c>
      <c r="K3" t="s">
        <v>84</v>
      </c>
      <c r="M3" s="8" t="s">
        <v>3</v>
      </c>
      <c r="N3" t="s">
        <v>82</v>
      </c>
    </row>
    <row r="4" spans="1:15" x14ac:dyDescent="0.25">
      <c r="A4" s="11" t="s">
        <v>90</v>
      </c>
      <c r="B4" s="11" t="s">
        <v>91</v>
      </c>
      <c r="D4" s="9" t="s">
        <v>37</v>
      </c>
      <c r="E4" s="10">
        <v>0.92128571428571437</v>
      </c>
      <c r="G4" s="9" t="s">
        <v>37</v>
      </c>
      <c r="H4" s="10">
        <v>0.92964285714285733</v>
      </c>
      <c r="J4" s="9" t="s">
        <v>22</v>
      </c>
      <c r="K4" s="10">
        <v>0.90867999999999993</v>
      </c>
      <c r="M4" s="9" t="s">
        <v>20</v>
      </c>
      <c r="N4" s="10">
        <v>0.96779999999999988</v>
      </c>
    </row>
    <row r="5" spans="1:15" x14ac:dyDescent="0.25">
      <c r="A5" s="11" t="s">
        <v>92</v>
      </c>
      <c r="B5" s="11">
        <f>GETPIVOTDATA("Emp ID",$K$12)</f>
        <v>89</v>
      </c>
      <c r="D5" s="9" t="s">
        <v>43</v>
      </c>
      <c r="E5" s="10">
        <v>0.90971428571428581</v>
      </c>
      <c r="G5" s="9" t="s">
        <v>43</v>
      </c>
      <c r="H5" s="10">
        <v>0.91899999999999993</v>
      </c>
      <c r="J5" s="9" t="s">
        <v>32</v>
      </c>
      <c r="K5" s="10">
        <v>0.89919047619047632</v>
      </c>
      <c r="M5" s="9" t="s">
        <v>77</v>
      </c>
      <c r="N5" s="10">
        <v>0.93299999999999994</v>
      </c>
    </row>
    <row r="6" spans="1:15" x14ac:dyDescent="0.25">
      <c r="A6" s="11" t="s">
        <v>93</v>
      </c>
      <c r="B6" s="12">
        <f>GETPIVOTDATA("Productivity %",$G$3)</f>
        <v>0.91858426966292162</v>
      </c>
      <c r="D6" s="9" t="s">
        <v>55</v>
      </c>
      <c r="E6" s="10">
        <v>0.90069230769230768</v>
      </c>
      <c r="G6" s="9" t="s">
        <v>55</v>
      </c>
      <c r="H6" s="10">
        <v>0.91823076923076929</v>
      </c>
      <c r="J6" s="9" t="s">
        <v>38</v>
      </c>
      <c r="K6" s="10">
        <v>0.83890909090909094</v>
      </c>
      <c r="M6" s="9" t="s">
        <v>40</v>
      </c>
      <c r="N6" s="10">
        <v>0.97300000000000009</v>
      </c>
    </row>
    <row r="7" spans="1:15" x14ac:dyDescent="0.25">
      <c r="A7" s="11" t="s">
        <v>94</v>
      </c>
      <c r="B7" s="12">
        <f>GETPIVOTDATA("Achievement %",$D$3)</f>
        <v>0.90624719101123585</v>
      </c>
      <c r="D7" s="9" t="s">
        <v>31</v>
      </c>
      <c r="E7" s="10">
        <v>0.87405555555555559</v>
      </c>
      <c r="G7" s="9" t="s">
        <v>31</v>
      </c>
      <c r="H7" s="10">
        <v>0.89044444444444459</v>
      </c>
      <c r="J7" s="9" t="s">
        <v>27</v>
      </c>
      <c r="K7" s="10">
        <v>0.9027142857142858</v>
      </c>
      <c r="M7" s="9" t="s">
        <v>26</v>
      </c>
      <c r="N7" s="10">
        <v>0.93099999999999983</v>
      </c>
    </row>
    <row r="8" spans="1:15" x14ac:dyDescent="0.25">
      <c r="A8" s="11" t="s">
        <v>95</v>
      </c>
      <c r="B8" s="11">
        <f>GETPIVOTDATA("Sum of Completed Tasks",$G$12)</f>
        <v>1177</v>
      </c>
      <c r="D8" s="9" t="s">
        <v>49</v>
      </c>
      <c r="E8" s="10">
        <v>0.89715384615384608</v>
      </c>
      <c r="G8" s="9" t="s">
        <v>49</v>
      </c>
      <c r="H8" s="10">
        <v>0.90399999999999991</v>
      </c>
      <c r="J8" s="9" t="s">
        <v>81</v>
      </c>
      <c r="K8" s="10">
        <v>0.88778651685393262</v>
      </c>
      <c r="M8" s="9" t="s">
        <v>45</v>
      </c>
      <c r="N8" s="10">
        <v>0.93479999999999985</v>
      </c>
    </row>
    <row r="9" spans="1:15" x14ac:dyDescent="0.25">
      <c r="A9" s="11" t="s">
        <v>96</v>
      </c>
      <c r="B9" s="12">
        <f>GETPIVOTDATA("Quality Score %",$J$3)</f>
        <v>0.88778651685393262</v>
      </c>
      <c r="D9" s="9" t="s">
        <v>21</v>
      </c>
      <c r="E9" s="10">
        <v>0.93629411764705872</v>
      </c>
      <c r="G9" s="9" t="s">
        <v>21</v>
      </c>
      <c r="H9" s="10">
        <v>0.95035294117647051</v>
      </c>
      <c r="M9" s="9" t="s">
        <v>81</v>
      </c>
      <c r="N9" s="10">
        <v>0.9492173913043479</v>
      </c>
    </row>
    <row r="10" spans="1:15" x14ac:dyDescent="0.25">
      <c r="D10" s="9" t="s">
        <v>81</v>
      </c>
      <c r="E10" s="10">
        <v>0.90624719101123585</v>
      </c>
      <c r="G10" s="9" t="s">
        <v>81</v>
      </c>
      <c r="H10" s="10">
        <v>0.91858426966292162</v>
      </c>
    </row>
    <row r="11" spans="1:15" x14ac:dyDescent="0.25">
      <c r="N11" s="8" t="s">
        <v>88</v>
      </c>
      <c r="O11" t="s">
        <v>87</v>
      </c>
    </row>
    <row r="12" spans="1:15" x14ac:dyDescent="0.25">
      <c r="D12" s="8" t="s">
        <v>3</v>
      </c>
      <c r="E12" t="s">
        <v>83</v>
      </c>
      <c r="G12" s="8" t="s">
        <v>3</v>
      </c>
      <c r="H12" t="s">
        <v>85</v>
      </c>
      <c r="I12" t="s">
        <v>86</v>
      </c>
      <c r="K12" s="8" t="s">
        <v>88</v>
      </c>
      <c r="L12" t="s">
        <v>87</v>
      </c>
      <c r="N12" s="9" t="s">
        <v>24</v>
      </c>
      <c r="O12">
        <v>58</v>
      </c>
    </row>
    <row r="13" spans="1:15" x14ac:dyDescent="0.25">
      <c r="D13" s="9" t="s">
        <v>18</v>
      </c>
      <c r="E13" s="10">
        <v>0.96260000000000001</v>
      </c>
      <c r="G13" s="9" t="s">
        <v>18</v>
      </c>
      <c r="H13">
        <v>209</v>
      </c>
      <c r="I13">
        <v>133</v>
      </c>
      <c r="K13" s="9" t="s">
        <v>28</v>
      </c>
      <c r="L13">
        <v>8</v>
      </c>
      <c r="N13" s="9" t="s">
        <v>74</v>
      </c>
      <c r="O13">
        <v>11</v>
      </c>
    </row>
    <row r="14" spans="1:15" x14ac:dyDescent="0.25">
      <c r="D14" s="9" t="s">
        <v>64</v>
      </c>
      <c r="E14" s="10">
        <v>0.94374999999999998</v>
      </c>
      <c r="G14" s="9" t="s">
        <v>64</v>
      </c>
      <c r="H14">
        <v>173</v>
      </c>
      <c r="I14">
        <v>79</v>
      </c>
      <c r="K14" s="9" t="s">
        <v>23</v>
      </c>
      <c r="L14">
        <v>67</v>
      </c>
      <c r="N14" s="9" t="s">
        <v>50</v>
      </c>
      <c r="O14">
        <v>20</v>
      </c>
    </row>
    <row r="15" spans="1:15" x14ac:dyDescent="0.25">
      <c r="D15" s="9" t="s">
        <v>71</v>
      </c>
      <c r="E15" s="10">
        <v>0.85171428571428598</v>
      </c>
      <c r="G15" s="9" t="s">
        <v>71</v>
      </c>
      <c r="H15">
        <v>175</v>
      </c>
      <c r="I15">
        <v>69</v>
      </c>
      <c r="K15" s="9" t="s">
        <v>46</v>
      </c>
      <c r="L15">
        <v>14</v>
      </c>
      <c r="N15" s="9" t="s">
        <v>81</v>
      </c>
      <c r="O15">
        <v>89</v>
      </c>
    </row>
    <row r="16" spans="1:15" x14ac:dyDescent="0.25">
      <c r="D16" s="9" t="s">
        <v>75</v>
      </c>
      <c r="E16" s="10">
        <v>0.93092307692307696</v>
      </c>
      <c r="G16" s="9" t="s">
        <v>75</v>
      </c>
      <c r="H16">
        <v>154</v>
      </c>
      <c r="I16">
        <v>80</v>
      </c>
      <c r="K16" s="9" t="s">
        <v>81</v>
      </c>
      <c r="L16">
        <v>89</v>
      </c>
    </row>
    <row r="17" spans="4:12" x14ac:dyDescent="0.25">
      <c r="D17" s="9" t="s">
        <v>78</v>
      </c>
      <c r="E17" s="10">
        <v>0.91907142857142865</v>
      </c>
      <c r="G17" s="9" t="s">
        <v>78</v>
      </c>
      <c r="H17">
        <v>179</v>
      </c>
      <c r="I17">
        <v>62</v>
      </c>
    </row>
    <row r="18" spans="4:12" x14ac:dyDescent="0.25">
      <c r="D18" s="9" t="s">
        <v>79</v>
      </c>
      <c r="E18" s="10">
        <v>0.91184615384615375</v>
      </c>
      <c r="G18" s="9" t="s">
        <v>79</v>
      </c>
      <c r="H18">
        <v>178</v>
      </c>
      <c r="I18">
        <v>65</v>
      </c>
      <c r="K18" s="9" t="s">
        <v>89</v>
      </c>
      <c r="L18" t="s">
        <v>84</v>
      </c>
    </row>
    <row r="19" spans="4:12" x14ac:dyDescent="0.25">
      <c r="D19" s="9" t="s">
        <v>80</v>
      </c>
      <c r="E19" s="10">
        <v>0.90537500000000004</v>
      </c>
      <c r="G19" s="9" t="s">
        <v>80</v>
      </c>
      <c r="H19">
        <v>109</v>
      </c>
      <c r="I19">
        <v>40</v>
      </c>
      <c r="K19" s="9" t="s">
        <v>22</v>
      </c>
      <c r="L19" s="10">
        <v>0.90867999999999993</v>
      </c>
    </row>
    <row r="20" spans="4:12" x14ac:dyDescent="0.25">
      <c r="D20" s="9" t="s">
        <v>81</v>
      </c>
      <c r="E20" s="10">
        <v>0.91858426966292139</v>
      </c>
      <c r="G20" s="9" t="s">
        <v>81</v>
      </c>
      <c r="H20">
        <v>1177</v>
      </c>
      <c r="I20">
        <v>528</v>
      </c>
      <c r="K20" s="9" t="s">
        <v>32</v>
      </c>
      <c r="L20" s="10">
        <v>0.89919047619047632</v>
      </c>
    </row>
    <row r="21" spans="4:12" x14ac:dyDescent="0.25">
      <c r="K21" s="9" t="s">
        <v>38</v>
      </c>
      <c r="L21" s="10">
        <v>0.83890909090909094</v>
      </c>
    </row>
    <row r="22" spans="4:12" x14ac:dyDescent="0.25">
      <c r="K22" s="9" t="s">
        <v>27</v>
      </c>
      <c r="L22" s="10">
        <v>0.9027142857142858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26702-4832-47EF-B939-2DE91A9F8BF2}">
  <dimension ref="A1"/>
  <sheetViews>
    <sheetView showGridLines="0" tabSelected="1" zoomScale="78" workbookViewId="0">
      <selection activeCell="AA40" sqref="AA40"/>
    </sheetView>
  </sheetViews>
  <sheetFormatPr defaultRowHeight="15" x14ac:dyDescent="0.25"/>
  <cols>
    <col min="12" max="12" width="8.8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0A94-E23B-4576-997B-E8EFE3ED05AC}">
  <dimension ref="A1:R90"/>
  <sheetViews>
    <sheetView topLeftCell="A2" zoomScale="70" zoomScaleNormal="70" workbookViewId="0">
      <selection activeCell="A2" sqref="A2"/>
    </sheetView>
  </sheetViews>
  <sheetFormatPr defaultRowHeight="15" x14ac:dyDescent="0.25"/>
  <cols>
    <col min="1" max="1" width="16.42578125" customWidth="1"/>
    <col min="2" max="2" width="8.7109375" customWidth="1"/>
    <col min="3" max="3" width="8.85546875" customWidth="1"/>
    <col min="4" max="4" width="16.7109375" customWidth="1"/>
    <col min="5" max="5" width="13" customWidth="1"/>
    <col min="7" max="7" width="14.42578125" customWidth="1"/>
    <col min="8" max="8" width="18.28515625" customWidth="1"/>
    <col min="9" max="9" width="13.28515625" customWidth="1"/>
    <col min="10" max="10" width="17.140625" customWidth="1"/>
    <col min="11" max="11" width="14.7109375" customWidth="1"/>
    <col min="12" max="13" width="13.5703125" customWidth="1"/>
    <col min="14" max="14" width="16" customWidth="1"/>
    <col min="15" max="15" width="15" customWidth="1"/>
    <col min="16" max="17" width="15.85546875" customWidth="1"/>
    <col min="18" max="18" width="19.42578125" customWidth="1"/>
  </cols>
  <sheetData>
    <row r="1" spans="1:18" x14ac:dyDescent="0.25">
      <c r="A1" s="6" t="s">
        <v>0</v>
      </c>
      <c r="B1" s="6" t="s">
        <v>1</v>
      </c>
      <c r="C1" s="7"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row>
    <row r="2" spans="1:18" x14ac:dyDescent="0.25">
      <c r="A2" s="1">
        <v>46023</v>
      </c>
      <c r="B2" s="2" t="s">
        <v>18</v>
      </c>
      <c r="C2" s="2" t="s">
        <v>19</v>
      </c>
      <c r="D2" s="2" t="s">
        <v>20</v>
      </c>
      <c r="E2" s="2" t="s">
        <v>21</v>
      </c>
      <c r="F2" s="2" t="s">
        <v>22</v>
      </c>
      <c r="G2" s="2">
        <v>22</v>
      </c>
      <c r="H2" s="2" t="s">
        <v>23</v>
      </c>
      <c r="I2" s="2">
        <v>8</v>
      </c>
      <c r="J2" s="2">
        <v>10</v>
      </c>
      <c r="K2" s="2">
        <v>0</v>
      </c>
      <c r="L2" s="2">
        <v>8</v>
      </c>
      <c r="M2" s="2">
        <v>8.5</v>
      </c>
      <c r="N2" s="2">
        <v>0.5</v>
      </c>
      <c r="O2" s="3">
        <v>1</v>
      </c>
      <c r="P2" s="3">
        <v>0.91100000000000003</v>
      </c>
      <c r="Q2" s="3">
        <v>0.96399999999999997</v>
      </c>
      <c r="R2" s="2" t="s">
        <v>24</v>
      </c>
    </row>
    <row r="3" spans="1:18" x14ac:dyDescent="0.25">
      <c r="A3" s="1">
        <v>46024</v>
      </c>
      <c r="B3" s="2" t="s">
        <v>18</v>
      </c>
      <c r="C3" s="2" t="s">
        <v>25</v>
      </c>
      <c r="D3" s="2" t="s">
        <v>26</v>
      </c>
      <c r="E3" s="2" t="s">
        <v>21</v>
      </c>
      <c r="F3" s="2" t="s">
        <v>27</v>
      </c>
      <c r="G3" s="2">
        <v>20</v>
      </c>
      <c r="H3" s="2" t="s">
        <v>28</v>
      </c>
      <c r="I3" s="2">
        <v>19</v>
      </c>
      <c r="J3" s="2">
        <v>20</v>
      </c>
      <c r="K3" s="2">
        <v>0</v>
      </c>
      <c r="L3" s="2">
        <v>7</v>
      </c>
      <c r="M3" s="2">
        <v>6.8</v>
      </c>
      <c r="N3" s="2">
        <v>0</v>
      </c>
      <c r="O3" s="3">
        <v>1</v>
      </c>
      <c r="P3" s="3">
        <v>0.88700000000000001</v>
      </c>
      <c r="Q3" s="3">
        <v>0.95499999999999996</v>
      </c>
      <c r="R3" s="2" t="s">
        <v>24</v>
      </c>
    </row>
    <row r="4" spans="1:18" x14ac:dyDescent="0.25">
      <c r="A4" s="1">
        <v>46025</v>
      </c>
      <c r="B4" s="2" t="s">
        <v>18</v>
      </c>
      <c r="C4" s="2" t="s">
        <v>29</v>
      </c>
      <c r="D4" s="2" t="s">
        <v>30</v>
      </c>
      <c r="E4" s="2" t="s">
        <v>31</v>
      </c>
      <c r="F4" s="2" t="s">
        <v>32</v>
      </c>
      <c r="G4" s="2">
        <v>20</v>
      </c>
      <c r="H4" s="2" t="s">
        <v>23</v>
      </c>
      <c r="I4" s="2">
        <v>11</v>
      </c>
      <c r="J4" s="2">
        <v>12</v>
      </c>
      <c r="K4" s="2">
        <v>0</v>
      </c>
      <c r="L4" s="2">
        <v>9</v>
      </c>
      <c r="M4" s="2">
        <v>9.6999999999999993</v>
      </c>
      <c r="N4" s="2">
        <v>0.7</v>
      </c>
      <c r="O4" s="3">
        <v>1</v>
      </c>
      <c r="P4" s="3">
        <v>0.92400000000000004</v>
      </c>
      <c r="Q4" s="3">
        <v>0.97</v>
      </c>
      <c r="R4" s="2" t="s">
        <v>24</v>
      </c>
    </row>
    <row r="5" spans="1:18" x14ac:dyDescent="0.25">
      <c r="A5" s="1">
        <v>46026</v>
      </c>
      <c r="B5" s="2" t="s">
        <v>18</v>
      </c>
      <c r="C5" s="2" t="s">
        <v>33</v>
      </c>
      <c r="D5" s="2" t="s">
        <v>34</v>
      </c>
      <c r="E5" s="2" t="s">
        <v>31</v>
      </c>
      <c r="F5" s="2" t="s">
        <v>22</v>
      </c>
      <c r="G5" s="2">
        <v>22</v>
      </c>
      <c r="H5" s="2" t="s">
        <v>28</v>
      </c>
      <c r="I5" s="2">
        <v>16</v>
      </c>
      <c r="J5" s="2">
        <v>16</v>
      </c>
      <c r="K5" s="2">
        <v>0</v>
      </c>
      <c r="L5" s="2">
        <v>7</v>
      </c>
      <c r="M5" s="2">
        <v>8.6999999999999993</v>
      </c>
      <c r="N5" s="2">
        <v>1.7</v>
      </c>
      <c r="O5" s="3">
        <v>0.99199999999999999</v>
      </c>
      <c r="P5" s="3">
        <v>0.93300000000000005</v>
      </c>
      <c r="Q5" s="3">
        <v>0.96799999999999997</v>
      </c>
      <c r="R5" s="2" t="s">
        <v>24</v>
      </c>
    </row>
    <row r="6" spans="1:18" x14ac:dyDescent="0.25">
      <c r="A6" s="1">
        <v>46027</v>
      </c>
      <c r="B6" s="2" t="s">
        <v>18</v>
      </c>
      <c r="C6" s="2" t="s">
        <v>35</v>
      </c>
      <c r="D6" s="2" t="s">
        <v>36</v>
      </c>
      <c r="E6" s="2" t="s">
        <v>37</v>
      </c>
      <c r="F6" s="2" t="s">
        <v>38</v>
      </c>
      <c r="G6" s="2">
        <v>20</v>
      </c>
      <c r="H6" s="2" t="s">
        <v>23</v>
      </c>
      <c r="I6" s="2">
        <v>19</v>
      </c>
      <c r="J6" s="2">
        <v>19</v>
      </c>
      <c r="K6" s="2">
        <v>0</v>
      </c>
      <c r="L6" s="2">
        <v>8</v>
      </c>
      <c r="M6" s="2">
        <v>7.7</v>
      </c>
      <c r="N6" s="2">
        <v>0</v>
      </c>
      <c r="O6" s="3">
        <v>0.96399999999999997</v>
      </c>
      <c r="P6" s="3">
        <v>0.89100000000000001</v>
      </c>
      <c r="Q6" s="3">
        <v>0.93500000000000005</v>
      </c>
      <c r="R6" s="2" t="s">
        <v>24</v>
      </c>
    </row>
    <row r="7" spans="1:18" x14ac:dyDescent="0.25">
      <c r="A7" s="1">
        <v>46028</v>
      </c>
      <c r="B7" s="2" t="s">
        <v>18</v>
      </c>
      <c r="C7" s="2" t="s">
        <v>39</v>
      </c>
      <c r="D7" s="2" t="s">
        <v>40</v>
      </c>
      <c r="E7" s="2" t="s">
        <v>37</v>
      </c>
      <c r="F7" s="2" t="s">
        <v>27</v>
      </c>
      <c r="G7" s="2">
        <v>21</v>
      </c>
      <c r="H7" s="2" t="s">
        <v>23</v>
      </c>
      <c r="I7" s="2">
        <v>9</v>
      </c>
      <c r="J7" s="2">
        <v>9</v>
      </c>
      <c r="K7" s="2">
        <v>10</v>
      </c>
      <c r="L7" s="2">
        <v>7</v>
      </c>
      <c r="M7" s="2">
        <v>6.7</v>
      </c>
      <c r="N7" s="2">
        <v>0</v>
      </c>
      <c r="O7" s="3">
        <v>0.97699999999999998</v>
      </c>
      <c r="P7" s="3">
        <v>0.93300000000000005</v>
      </c>
      <c r="Q7" s="3">
        <v>0.95899999999999996</v>
      </c>
      <c r="R7" s="2" t="s">
        <v>24</v>
      </c>
    </row>
    <row r="8" spans="1:18" x14ac:dyDescent="0.25">
      <c r="A8" s="1">
        <v>46029</v>
      </c>
      <c r="B8" s="2" t="s">
        <v>18</v>
      </c>
      <c r="C8" s="2" t="s">
        <v>41</v>
      </c>
      <c r="D8" s="2" t="s">
        <v>42</v>
      </c>
      <c r="E8" s="2" t="s">
        <v>43</v>
      </c>
      <c r="F8" s="2" t="s">
        <v>32</v>
      </c>
      <c r="G8" s="2">
        <v>21</v>
      </c>
      <c r="H8" s="2" t="s">
        <v>23</v>
      </c>
      <c r="I8" s="2">
        <v>19</v>
      </c>
      <c r="J8" s="2">
        <v>19</v>
      </c>
      <c r="K8" s="2">
        <v>0</v>
      </c>
      <c r="L8" s="2">
        <v>9</v>
      </c>
      <c r="M8" s="2">
        <v>10.7</v>
      </c>
      <c r="N8" s="2">
        <v>1.7</v>
      </c>
      <c r="O8" s="3">
        <v>0.94</v>
      </c>
      <c r="P8" s="3">
        <v>1</v>
      </c>
      <c r="Q8" s="3">
        <v>0.96399999999999997</v>
      </c>
      <c r="R8" s="2" t="s">
        <v>24</v>
      </c>
    </row>
    <row r="9" spans="1:18" x14ac:dyDescent="0.25">
      <c r="A9" s="1">
        <v>46030</v>
      </c>
      <c r="B9" s="2" t="s">
        <v>18</v>
      </c>
      <c r="C9" s="2" t="s">
        <v>44</v>
      </c>
      <c r="D9" s="2" t="s">
        <v>45</v>
      </c>
      <c r="E9" s="2" t="s">
        <v>43</v>
      </c>
      <c r="F9" s="2" t="s">
        <v>22</v>
      </c>
      <c r="G9" s="2">
        <v>20</v>
      </c>
      <c r="H9" s="2" t="s">
        <v>46</v>
      </c>
      <c r="I9" s="2">
        <v>12</v>
      </c>
      <c r="J9" s="2">
        <v>15</v>
      </c>
      <c r="K9" s="2">
        <v>0</v>
      </c>
      <c r="L9" s="2">
        <v>9</v>
      </c>
      <c r="M9" s="2">
        <v>9.8000000000000007</v>
      </c>
      <c r="N9" s="2">
        <v>0.8</v>
      </c>
      <c r="O9" s="3">
        <v>1</v>
      </c>
      <c r="P9" s="3">
        <v>1</v>
      </c>
      <c r="Q9" s="3">
        <v>1</v>
      </c>
      <c r="R9" s="2" t="s">
        <v>24</v>
      </c>
    </row>
    <row r="10" spans="1:18" x14ac:dyDescent="0.25">
      <c r="A10" s="1">
        <v>46031</v>
      </c>
      <c r="B10" s="2" t="s">
        <v>18</v>
      </c>
      <c r="C10" s="2" t="s">
        <v>47</v>
      </c>
      <c r="D10" s="2" t="s">
        <v>48</v>
      </c>
      <c r="E10" s="2" t="s">
        <v>49</v>
      </c>
      <c r="F10" s="2" t="s">
        <v>38</v>
      </c>
      <c r="G10" s="2">
        <v>22</v>
      </c>
      <c r="H10" s="2" t="s">
        <v>23</v>
      </c>
      <c r="I10" s="2">
        <v>19</v>
      </c>
      <c r="J10" s="2">
        <v>16</v>
      </c>
      <c r="K10" s="2">
        <v>30</v>
      </c>
      <c r="L10" s="2">
        <v>7</v>
      </c>
      <c r="M10" s="2">
        <v>6.5</v>
      </c>
      <c r="N10" s="2">
        <v>0</v>
      </c>
      <c r="O10" s="3">
        <v>0.86799999999999999</v>
      </c>
      <c r="P10" s="3">
        <v>0.91800000000000004</v>
      </c>
      <c r="Q10" s="3">
        <v>0.88800000000000001</v>
      </c>
      <c r="R10" s="2" t="s">
        <v>50</v>
      </c>
    </row>
    <row r="11" spans="1:18" x14ac:dyDescent="0.25">
      <c r="A11" s="1">
        <v>46032</v>
      </c>
      <c r="B11" s="2" t="s">
        <v>18</v>
      </c>
      <c r="C11" s="2" t="s">
        <v>51</v>
      </c>
      <c r="D11" s="2" t="s">
        <v>52</v>
      </c>
      <c r="E11" s="2" t="s">
        <v>49</v>
      </c>
      <c r="F11" s="2" t="s">
        <v>32</v>
      </c>
      <c r="G11" s="2">
        <v>20</v>
      </c>
      <c r="H11" s="2" t="s">
        <v>23</v>
      </c>
      <c r="I11" s="2">
        <v>9</v>
      </c>
      <c r="J11" s="2">
        <v>9</v>
      </c>
      <c r="K11" s="2">
        <v>40</v>
      </c>
      <c r="L11" s="2">
        <v>8</v>
      </c>
      <c r="M11" s="2">
        <v>8.6</v>
      </c>
      <c r="N11" s="2">
        <v>0.6</v>
      </c>
      <c r="O11" s="3">
        <v>0.99299999999999999</v>
      </c>
      <c r="P11" s="3">
        <v>1</v>
      </c>
      <c r="Q11" s="3">
        <v>0.996</v>
      </c>
      <c r="R11" s="2" t="s">
        <v>24</v>
      </c>
    </row>
    <row r="12" spans="1:18" x14ac:dyDescent="0.25">
      <c r="A12" s="1">
        <v>46033</v>
      </c>
      <c r="B12" s="2" t="s">
        <v>18</v>
      </c>
      <c r="C12" s="2" t="s">
        <v>53</v>
      </c>
      <c r="D12" s="2" t="s">
        <v>54</v>
      </c>
      <c r="E12" s="2" t="s">
        <v>55</v>
      </c>
      <c r="F12" s="2" t="s">
        <v>22</v>
      </c>
      <c r="G12" s="2">
        <v>22</v>
      </c>
      <c r="H12" s="2" t="s">
        <v>23</v>
      </c>
      <c r="I12" s="2">
        <v>17</v>
      </c>
      <c r="J12" s="2">
        <v>19</v>
      </c>
      <c r="K12" s="2">
        <v>0</v>
      </c>
      <c r="L12" s="2">
        <v>7</v>
      </c>
      <c r="M12" s="2">
        <v>6.5</v>
      </c>
      <c r="N12" s="2">
        <v>0</v>
      </c>
      <c r="O12" s="3">
        <v>1</v>
      </c>
      <c r="P12" s="3">
        <v>0.93400000000000005</v>
      </c>
      <c r="Q12" s="3">
        <v>0.97399999999999998</v>
      </c>
      <c r="R12" s="2" t="s">
        <v>24</v>
      </c>
    </row>
    <row r="13" spans="1:18" x14ac:dyDescent="0.25">
      <c r="A13" s="1">
        <v>46034</v>
      </c>
      <c r="B13" s="2" t="s">
        <v>18</v>
      </c>
      <c r="C13" s="2" t="s">
        <v>56</v>
      </c>
      <c r="D13" s="2" t="s">
        <v>57</v>
      </c>
      <c r="E13" s="2" t="s">
        <v>21</v>
      </c>
      <c r="F13" s="2" t="s">
        <v>38</v>
      </c>
      <c r="G13" s="2">
        <v>21</v>
      </c>
      <c r="H13" s="2" t="s">
        <v>23</v>
      </c>
      <c r="I13" s="2">
        <v>12</v>
      </c>
      <c r="J13" s="2">
        <v>14</v>
      </c>
      <c r="K13" s="2">
        <v>50</v>
      </c>
      <c r="L13" s="2">
        <v>9</v>
      </c>
      <c r="M13" s="2">
        <v>9.3000000000000007</v>
      </c>
      <c r="N13" s="2">
        <v>0.3</v>
      </c>
      <c r="O13" s="3">
        <v>1</v>
      </c>
      <c r="P13" s="3">
        <v>1</v>
      </c>
      <c r="Q13" s="3">
        <v>1</v>
      </c>
      <c r="R13" s="2" t="s">
        <v>24</v>
      </c>
    </row>
    <row r="14" spans="1:18" x14ac:dyDescent="0.25">
      <c r="A14" s="1">
        <v>46035</v>
      </c>
      <c r="B14" s="2" t="s">
        <v>18</v>
      </c>
      <c r="C14" s="2" t="s">
        <v>58</v>
      </c>
      <c r="D14" s="2" t="s">
        <v>59</v>
      </c>
      <c r="E14" s="2" t="s">
        <v>31</v>
      </c>
      <c r="F14" s="2" t="s">
        <v>27</v>
      </c>
      <c r="G14" s="2">
        <v>20</v>
      </c>
      <c r="H14" s="2" t="s">
        <v>23</v>
      </c>
      <c r="I14" s="2">
        <v>8</v>
      </c>
      <c r="J14" s="2">
        <v>11</v>
      </c>
      <c r="K14" s="2">
        <v>0</v>
      </c>
      <c r="L14" s="2">
        <v>8</v>
      </c>
      <c r="M14" s="2">
        <v>5.9</v>
      </c>
      <c r="N14" s="2">
        <v>0</v>
      </c>
      <c r="O14" s="3">
        <v>1</v>
      </c>
      <c r="P14" s="3">
        <v>0.89500000000000002</v>
      </c>
      <c r="Q14" s="3">
        <v>0.95799999999999996</v>
      </c>
      <c r="R14" s="2" t="s">
        <v>24</v>
      </c>
    </row>
    <row r="15" spans="1:18" x14ac:dyDescent="0.25">
      <c r="A15" s="1">
        <v>46036</v>
      </c>
      <c r="B15" s="2" t="s">
        <v>18</v>
      </c>
      <c r="C15" s="2" t="s">
        <v>60</v>
      </c>
      <c r="D15" s="2" t="s">
        <v>61</v>
      </c>
      <c r="E15" s="2" t="s">
        <v>37</v>
      </c>
      <c r="F15" s="2" t="s">
        <v>32</v>
      </c>
      <c r="G15" s="2">
        <v>22</v>
      </c>
      <c r="H15" s="2" t="s">
        <v>28</v>
      </c>
      <c r="I15" s="2">
        <v>13</v>
      </c>
      <c r="J15" s="2">
        <v>11</v>
      </c>
      <c r="K15" s="2">
        <v>2</v>
      </c>
      <c r="L15" s="2">
        <v>9</v>
      </c>
      <c r="M15" s="2">
        <v>7.1</v>
      </c>
      <c r="N15" s="2">
        <v>0</v>
      </c>
      <c r="O15" s="3">
        <v>0.84599999999999997</v>
      </c>
      <c r="P15" s="3">
        <v>0.92100000000000004</v>
      </c>
      <c r="Q15" s="3">
        <v>0.876</v>
      </c>
      <c r="R15" s="2" t="s">
        <v>50</v>
      </c>
    </row>
    <row r="16" spans="1:18" x14ac:dyDescent="0.25">
      <c r="A16" s="1">
        <v>46037</v>
      </c>
      <c r="B16" s="2" t="s">
        <v>18</v>
      </c>
      <c r="C16" s="2" t="s">
        <v>62</v>
      </c>
      <c r="D16" s="2" t="s">
        <v>63</v>
      </c>
      <c r="E16" s="2" t="s">
        <v>43</v>
      </c>
      <c r="F16" s="2" t="s">
        <v>38</v>
      </c>
      <c r="G16" s="2">
        <v>22</v>
      </c>
      <c r="H16" s="2" t="s">
        <v>23</v>
      </c>
      <c r="I16" s="2">
        <v>10</v>
      </c>
      <c r="J16" s="2">
        <v>9</v>
      </c>
      <c r="K16" s="2">
        <v>1</v>
      </c>
      <c r="L16" s="2">
        <v>7</v>
      </c>
      <c r="M16" s="2">
        <v>6.4</v>
      </c>
      <c r="N16" s="2">
        <v>0</v>
      </c>
      <c r="O16" s="3">
        <v>0.85899999999999999</v>
      </c>
      <c r="P16" s="3">
        <v>0.86299999999999999</v>
      </c>
      <c r="Q16" s="3">
        <v>0.86099999999999999</v>
      </c>
      <c r="R16" s="2" t="s">
        <v>50</v>
      </c>
    </row>
    <row r="17" spans="1:18" x14ac:dyDescent="0.25">
      <c r="A17" s="1">
        <v>46038</v>
      </c>
      <c r="B17" s="2" t="s">
        <v>64</v>
      </c>
      <c r="C17" s="2" t="s">
        <v>65</v>
      </c>
      <c r="D17" s="2" t="s">
        <v>66</v>
      </c>
      <c r="E17" s="2" t="s">
        <v>49</v>
      </c>
      <c r="F17" s="2" t="s">
        <v>22</v>
      </c>
      <c r="G17" s="2">
        <v>21</v>
      </c>
      <c r="H17" s="2" t="s">
        <v>28</v>
      </c>
      <c r="I17" s="2">
        <v>17</v>
      </c>
      <c r="J17" s="2">
        <v>17</v>
      </c>
      <c r="K17" s="2">
        <v>0</v>
      </c>
      <c r="L17" s="2">
        <v>9</v>
      </c>
      <c r="M17" s="2">
        <v>7.9</v>
      </c>
      <c r="N17" s="2">
        <v>0</v>
      </c>
      <c r="O17" s="3">
        <v>0.98399999999999999</v>
      </c>
      <c r="P17" s="3">
        <v>0.91200000000000003</v>
      </c>
      <c r="Q17" s="3">
        <v>0.95499999999999996</v>
      </c>
      <c r="R17" s="2" t="s">
        <v>24</v>
      </c>
    </row>
    <row r="18" spans="1:18" x14ac:dyDescent="0.25">
      <c r="A18" s="1">
        <v>46039</v>
      </c>
      <c r="B18" s="2" t="s">
        <v>64</v>
      </c>
      <c r="C18" s="2" t="s">
        <v>67</v>
      </c>
      <c r="D18" s="2" t="s">
        <v>68</v>
      </c>
      <c r="E18" s="2" t="s">
        <v>55</v>
      </c>
      <c r="F18" s="2" t="s">
        <v>32</v>
      </c>
      <c r="G18" s="2">
        <v>20</v>
      </c>
      <c r="H18" s="2" t="s">
        <v>46</v>
      </c>
      <c r="I18" s="2">
        <v>15</v>
      </c>
      <c r="J18" s="2">
        <v>12</v>
      </c>
      <c r="K18" s="2">
        <v>3</v>
      </c>
      <c r="L18" s="2">
        <v>7</v>
      </c>
      <c r="M18" s="2">
        <v>7.3</v>
      </c>
      <c r="N18" s="2">
        <v>0.3</v>
      </c>
      <c r="O18" s="3">
        <v>0.85799999999999998</v>
      </c>
      <c r="P18" s="3">
        <v>0.77200000000000002</v>
      </c>
      <c r="Q18" s="3">
        <v>0.82399999999999995</v>
      </c>
      <c r="R18" s="2" t="s">
        <v>50</v>
      </c>
    </row>
    <row r="19" spans="1:18" x14ac:dyDescent="0.25">
      <c r="A19" s="1">
        <v>46040</v>
      </c>
      <c r="B19" s="2" t="s">
        <v>64</v>
      </c>
      <c r="C19" s="2" t="s">
        <v>69</v>
      </c>
      <c r="D19" s="2" t="s">
        <v>70</v>
      </c>
      <c r="E19" s="2" t="s">
        <v>31</v>
      </c>
      <c r="F19" s="2" t="s">
        <v>38</v>
      </c>
      <c r="G19" s="2">
        <v>21</v>
      </c>
      <c r="H19" s="2" t="s">
        <v>46</v>
      </c>
      <c r="I19" s="2">
        <v>12</v>
      </c>
      <c r="J19" s="2">
        <v>13</v>
      </c>
      <c r="K19" s="2">
        <v>70</v>
      </c>
      <c r="L19" s="2">
        <v>7</v>
      </c>
      <c r="M19" s="2">
        <v>5.4</v>
      </c>
      <c r="N19" s="2">
        <v>0</v>
      </c>
      <c r="O19" s="3">
        <v>1</v>
      </c>
      <c r="P19" s="3">
        <v>0.90500000000000003</v>
      </c>
      <c r="Q19" s="3">
        <v>0.96199999999999997</v>
      </c>
      <c r="R19" s="2" t="s">
        <v>24</v>
      </c>
    </row>
    <row r="20" spans="1:18" x14ac:dyDescent="0.25">
      <c r="A20" s="1">
        <v>46041</v>
      </c>
      <c r="B20" s="2" t="s">
        <v>64</v>
      </c>
      <c r="C20" s="2" t="s">
        <v>19</v>
      </c>
      <c r="D20" s="2" t="s">
        <v>20</v>
      </c>
      <c r="E20" s="2" t="s">
        <v>21</v>
      </c>
      <c r="F20" s="2" t="s">
        <v>22</v>
      </c>
      <c r="G20" s="2">
        <v>22</v>
      </c>
      <c r="H20" s="2" t="s">
        <v>23</v>
      </c>
      <c r="I20" s="2">
        <v>20</v>
      </c>
      <c r="J20" s="2">
        <v>22</v>
      </c>
      <c r="K20" s="2">
        <v>0</v>
      </c>
      <c r="L20" s="2">
        <v>8</v>
      </c>
      <c r="M20" s="2">
        <v>9.6</v>
      </c>
      <c r="N20" s="2">
        <v>1.6</v>
      </c>
      <c r="O20" s="3">
        <v>1</v>
      </c>
      <c r="P20" s="3">
        <v>0.97599999999999998</v>
      </c>
      <c r="Q20" s="3">
        <v>0.99</v>
      </c>
      <c r="R20" s="2" t="s">
        <v>24</v>
      </c>
    </row>
    <row r="21" spans="1:18" x14ac:dyDescent="0.25">
      <c r="A21" s="1">
        <v>46042</v>
      </c>
      <c r="B21" s="2" t="s">
        <v>64</v>
      </c>
      <c r="C21" s="2" t="s">
        <v>25</v>
      </c>
      <c r="D21" s="2" t="s">
        <v>26</v>
      </c>
      <c r="E21" s="2" t="s">
        <v>21</v>
      </c>
      <c r="F21" s="2" t="s">
        <v>27</v>
      </c>
      <c r="G21" s="2">
        <v>21</v>
      </c>
      <c r="H21" s="2" t="s">
        <v>23</v>
      </c>
      <c r="I21" s="2">
        <v>19</v>
      </c>
      <c r="J21" s="2">
        <v>21</v>
      </c>
      <c r="K21" s="2">
        <v>0</v>
      </c>
      <c r="L21" s="2">
        <v>8</v>
      </c>
      <c r="M21" s="2">
        <v>7.8</v>
      </c>
      <c r="N21" s="2">
        <v>0</v>
      </c>
      <c r="O21" s="3">
        <v>1</v>
      </c>
      <c r="P21" s="3">
        <v>1</v>
      </c>
      <c r="Q21" s="3">
        <v>1</v>
      </c>
      <c r="R21" s="2" t="s">
        <v>24</v>
      </c>
    </row>
    <row r="22" spans="1:18" x14ac:dyDescent="0.25">
      <c r="A22" s="1">
        <v>46043</v>
      </c>
      <c r="B22" s="2" t="s">
        <v>64</v>
      </c>
      <c r="C22" s="2" t="s">
        <v>29</v>
      </c>
      <c r="D22" s="2" t="s">
        <v>30</v>
      </c>
      <c r="E22" s="2" t="s">
        <v>31</v>
      </c>
      <c r="F22" s="2" t="s">
        <v>32</v>
      </c>
      <c r="G22" s="2">
        <v>22</v>
      </c>
      <c r="H22" s="2" t="s">
        <v>23</v>
      </c>
      <c r="I22" s="2">
        <v>18</v>
      </c>
      <c r="J22" s="2">
        <v>17</v>
      </c>
      <c r="K22" s="2">
        <v>1</v>
      </c>
      <c r="L22" s="2">
        <v>9</v>
      </c>
      <c r="M22" s="2">
        <v>9.1</v>
      </c>
      <c r="N22" s="2">
        <v>0.1</v>
      </c>
      <c r="O22" s="3">
        <v>0.94599999999999995</v>
      </c>
      <c r="P22" s="3">
        <v>0.87</v>
      </c>
      <c r="Q22" s="3">
        <v>0.91600000000000004</v>
      </c>
      <c r="R22" s="2" t="s">
        <v>24</v>
      </c>
    </row>
    <row r="23" spans="1:18" x14ac:dyDescent="0.25">
      <c r="A23" s="1">
        <v>46044</v>
      </c>
      <c r="B23" s="2" t="s">
        <v>64</v>
      </c>
      <c r="C23" s="2" t="s">
        <v>33</v>
      </c>
      <c r="D23" s="2" t="s">
        <v>34</v>
      </c>
      <c r="E23" s="2" t="s">
        <v>31</v>
      </c>
      <c r="F23" s="2" t="s">
        <v>22</v>
      </c>
      <c r="G23" s="2">
        <v>21</v>
      </c>
      <c r="H23" s="2" t="s">
        <v>23</v>
      </c>
      <c r="I23" s="2">
        <v>16</v>
      </c>
      <c r="J23" s="2">
        <v>19</v>
      </c>
      <c r="K23" s="2">
        <v>0</v>
      </c>
      <c r="L23" s="2">
        <v>9</v>
      </c>
      <c r="M23" s="2">
        <v>7.4</v>
      </c>
      <c r="N23" s="2">
        <v>0</v>
      </c>
      <c r="O23" s="3">
        <v>1</v>
      </c>
      <c r="P23" s="3">
        <v>1</v>
      </c>
      <c r="Q23" s="3">
        <v>1</v>
      </c>
      <c r="R23" s="2" t="s">
        <v>24</v>
      </c>
    </row>
    <row r="24" spans="1:18" x14ac:dyDescent="0.25">
      <c r="A24" s="1">
        <v>46045</v>
      </c>
      <c r="B24" s="2" t="s">
        <v>64</v>
      </c>
      <c r="C24" s="2" t="s">
        <v>35</v>
      </c>
      <c r="D24" s="2" t="s">
        <v>36</v>
      </c>
      <c r="E24" s="2" t="s">
        <v>37</v>
      </c>
      <c r="F24" s="2" t="s">
        <v>38</v>
      </c>
      <c r="G24" s="2">
        <v>21</v>
      </c>
      <c r="H24" s="2" t="s">
        <v>23</v>
      </c>
      <c r="I24" s="2">
        <v>9</v>
      </c>
      <c r="J24" s="2">
        <v>8</v>
      </c>
      <c r="K24" s="2">
        <v>1</v>
      </c>
      <c r="L24" s="2">
        <v>8</v>
      </c>
      <c r="M24" s="2">
        <v>7.4</v>
      </c>
      <c r="N24" s="2">
        <v>0</v>
      </c>
      <c r="O24" s="3">
        <v>0.84699999999999998</v>
      </c>
      <c r="P24" s="3">
        <v>0.78</v>
      </c>
      <c r="Q24" s="3">
        <v>0.82</v>
      </c>
      <c r="R24" s="2" t="s">
        <v>50</v>
      </c>
    </row>
    <row r="25" spans="1:18" x14ac:dyDescent="0.25">
      <c r="A25" s="1">
        <v>46046</v>
      </c>
      <c r="B25" s="2" t="s">
        <v>64</v>
      </c>
      <c r="C25" s="2" t="s">
        <v>39</v>
      </c>
      <c r="D25" s="2" t="s">
        <v>40</v>
      </c>
      <c r="E25" s="2" t="s">
        <v>37</v>
      </c>
      <c r="F25" s="2" t="s">
        <v>27</v>
      </c>
      <c r="G25" s="2">
        <v>22</v>
      </c>
      <c r="H25" s="2" t="s">
        <v>23</v>
      </c>
      <c r="I25" s="2">
        <v>9</v>
      </c>
      <c r="J25" s="2">
        <v>11</v>
      </c>
      <c r="K25" s="2">
        <v>0</v>
      </c>
      <c r="L25" s="2">
        <v>8</v>
      </c>
      <c r="M25" s="2">
        <v>8.1</v>
      </c>
      <c r="N25" s="2">
        <v>0.1</v>
      </c>
      <c r="O25" s="3">
        <v>1</v>
      </c>
      <c r="P25" s="3">
        <v>1</v>
      </c>
      <c r="Q25" s="3">
        <v>1</v>
      </c>
      <c r="R25" s="2" t="s">
        <v>24</v>
      </c>
    </row>
    <row r="26" spans="1:18" x14ac:dyDescent="0.25">
      <c r="A26" s="1">
        <v>46047</v>
      </c>
      <c r="B26" s="2" t="s">
        <v>64</v>
      </c>
      <c r="C26" s="2" t="s">
        <v>41</v>
      </c>
      <c r="D26" s="2" t="s">
        <v>42</v>
      </c>
      <c r="E26" s="2" t="s">
        <v>43</v>
      </c>
      <c r="F26" s="2" t="s">
        <v>32</v>
      </c>
      <c r="G26" s="2">
        <v>22</v>
      </c>
      <c r="H26" s="2" t="s">
        <v>23</v>
      </c>
      <c r="I26" s="2">
        <v>10</v>
      </c>
      <c r="J26" s="2">
        <v>12</v>
      </c>
      <c r="K26" s="2">
        <v>0</v>
      </c>
      <c r="L26" s="2">
        <v>8</v>
      </c>
      <c r="M26" s="2">
        <v>6.7</v>
      </c>
      <c r="N26" s="2">
        <v>0</v>
      </c>
      <c r="O26" s="3">
        <v>1</v>
      </c>
      <c r="P26" s="3">
        <v>0.91600000000000004</v>
      </c>
      <c r="Q26" s="3">
        <v>0.96599999999999997</v>
      </c>
      <c r="R26" s="2" t="s">
        <v>24</v>
      </c>
    </row>
    <row r="27" spans="1:18" x14ac:dyDescent="0.25">
      <c r="A27" s="1">
        <v>46048</v>
      </c>
      <c r="B27" s="2" t="s">
        <v>64</v>
      </c>
      <c r="C27" s="2" t="s">
        <v>44</v>
      </c>
      <c r="D27" s="2" t="s">
        <v>45</v>
      </c>
      <c r="E27" s="2" t="s">
        <v>43</v>
      </c>
      <c r="F27" s="2" t="s">
        <v>22</v>
      </c>
      <c r="G27" s="2">
        <v>22</v>
      </c>
      <c r="H27" s="2" t="s">
        <v>46</v>
      </c>
      <c r="I27" s="2">
        <v>14</v>
      </c>
      <c r="J27" s="2">
        <v>12</v>
      </c>
      <c r="K27" s="2">
        <v>2</v>
      </c>
      <c r="L27" s="2">
        <v>9</v>
      </c>
      <c r="M27" s="2">
        <v>9.4</v>
      </c>
      <c r="N27" s="2">
        <v>0.4</v>
      </c>
      <c r="O27" s="3">
        <v>0.89800000000000002</v>
      </c>
      <c r="P27" s="3">
        <v>0.93</v>
      </c>
      <c r="Q27" s="3">
        <v>0.91100000000000003</v>
      </c>
      <c r="R27" s="2" t="s">
        <v>24</v>
      </c>
    </row>
    <row r="28" spans="1:18" x14ac:dyDescent="0.25">
      <c r="A28" s="1">
        <v>46049</v>
      </c>
      <c r="B28" s="2" t="s">
        <v>64</v>
      </c>
      <c r="C28" s="2" t="s">
        <v>51</v>
      </c>
      <c r="D28" s="2" t="s">
        <v>52</v>
      </c>
      <c r="E28" s="2" t="s">
        <v>49</v>
      </c>
      <c r="F28" s="2" t="s">
        <v>32</v>
      </c>
      <c r="G28" s="2">
        <v>21</v>
      </c>
      <c r="H28" s="2" t="s">
        <v>23</v>
      </c>
      <c r="I28" s="2">
        <v>11</v>
      </c>
      <c r="J28" s="2">
        <v>9</v>
      </c>
      <c r="K28" s="2">
        <v>2</v>
      </c>
      <c r="L28" s="2">
        <v>7</v>
      </c>
      <c r="M28" s="2">
        <v>6.7</v>
      </c>
      <c r="N28" s="2">
        <v>0</v>
      </c>
      <c r="O28" s="3">
        <v>0.79200000000000004</v>
      </c>
      <c r="P28" s="3">
        <v>0.80100000000000005</v>
      </c>
      <c r="Q28" s="3">
        <v>0.79600000000000004</v>
      </c>
      <c r="R28" s="2" t="s">
        <v>50</v>
      </c>
    </row>
    <row r="29" spans="1:18" x14ac:dyDescent="0.25">
      <c r="A29" s="1">
        <v>46050</v>
      </c>
      <c r="B29" s="2" t="s">
        <v>71</v>
      </c>
      <c r="C29" s="2" t="s">
        <v>72</v>
      </c>
      <c r="D29" s="2" t="s">
        <v>73</v>
      </c>
      <c r="E29" s="2" t="s">
        <v>55</v>
      </c>
      <c r="F29" s="2" t="s">
        <v>27</v>
      </c>
      <c r="G29" s="2">
        <v>20</v>
      </c>
      <c r="H29" s="2" t="s">
        <v>46</v>
      </c>
      <c r="I29" s="2">
        <v>11</v>
      </c>
      <c r="J29" s="2">
        <v>8</v>
      </c>
      <c r="K29" s="2">
        <v>3</v>
      </c>
      <c r="L29" s="2">
        <v>7</v>
      </c>
      <c r="M29" s="2">
        <v>6.3</v>
      </c>
      <c r="N29" s="2">
        <v>0</v>
      </c>
      <c r="O29" s="3">
        <v>0.76100000000000001</v>
      </c>
      <c r="P29" s="3">
        <v>0.65400000000000003</v>
      </c>
      <c r="Q29" s="3">
        <v>0.71799999999999997</v>
      </c>
      <c r="R29" s="2" t="s">
        <v>74</v>
      </c>
    </row>
    <row r="30" spans="1:18" x14ac:dyDescent="0.25">
      <c r="A30" s="1">
        <v>46051</v>
      </c>
      <c r="B30" s="2" t="s">
        <v>71</v>
      </c>
      <c r="C30" s="2" t="s">
        <v>53</v>
      </c>
      <c r="D30" s="2" t="s">
        <v>54</v>
      </c>
      <c r="E30" s="2" t="s">
        <v>55</v>
      </c>
      <c r="F30" s="2" t="s">
        <v>22</v>
      </c>
      <c r="G30" s="2">
        <v>20</v>
      </c>
      <c r="H30" s="2" t="s">
        <v>23</v>
      </c>
      <c r="I30" s="2">
        <v>13</v>
      </c>
      <c r="J30" s="2">
        <v>10</v>
      </c>
      <c r="K30" s="2">
        <v>3</v>
      </c>
      <c r="L30" s="2">
        <v>9</v>
      </c>
      <c r="M30" s="2">
        <v>11</v>
      </c>
      <c r="N30" s="2">
        <v>2</v>
      </c>
      <c r="O30" s="3">
        <v>0.72699999999999998</v>
      </c>
      <c r="P30" s="3">
        <v>0.754</v>
      </c>
      <c r="Q30" s="3">
        <v>0.73799999999999999</v>
      </c>
      <c r="R30" s="2" t="s">
        <v>74</v>
      </c>
    </row>
    <row r="31" spans="1:18" x14ac:dyDescent="0.25">
      <c r="A31" s="1">
        <v>46052</v>
      </c>
      <c r="B31" s="2" t="s">
        <v>71</v>
      </c>
      <c r="C31" s="2" t="s">
        <v>56</v>
      </c>
      <c r="D31" s="2" t="s">
        <v>57</v>
      </c>
      <c r="E31" s="2" t="s">
        <v>21</v>
      </c>
      <c r="F31" s="2" t="s">
        <v>38</v>
      </c>
      <c r="G31" s="2">
        <v>20</v>
      </c>
      <c r="H31" s="2" t="s">
        <v>46</v>
      </c>
      <c r="I31" s="2">
        <v>10</v>
      </c>
      <c r="J31" s="2">
        <v>12</v>
      </c>
      <c r="K31" s="2">
        <v>0</v>
      </c>
      <c r="L31" s="2">
        <v>9</v>
      </c>
      <c r="M31" s="2">
        <v>9</v>
      </c>
      <c r="N31" s="2">
        <v>0</v>
      </c>
      <c r="O31" s="3">
        <v>1</v>
      </c>
      <c r="P31" s="3">
        <v>0.93300000000000005</v>
      </c>
      <c r="Q31" s="3">
        <v>0.97299999999999998</v>
      </c>
      <c r="R31" s="2" t="s">
        <v>24</v>
      </c>
    </row>
    <row r="32" spans="1:18" x14ac:dyDescent="0.25">
      <c r="A32" s="1">
        <v>46053</v>
      </c>
      <c r="B32" s="2" t="s">
        <v>71</v>
      </c>
      <c r="C32" s="2" t="s">
        <v>58</v>
      </c>
      <c r="D32" s="2" t="s">
        <v>59</v>
      </c>
      <c r="E32" s="2" t="s">
        <v>31</v>
      </c>
      <c r="F32" s="2" t="s">
        <v>27</v>
      </c>
      <c r="G32" s="2">
        <v>21</v>
      </c>
      <c r="H32" s="2" t="s">
        <v>23</v>
      </c>
      <c r="I32" s="2">
        <v>11</v>
      </c>
      <c r="J32" s="2">
        <v>8</v>
      </c>
      <c r="K32" s="2">
        <v>50</v>
      </c>
      <c r="L32" s="2">
        <v>7</v>
      </c>
      <c r="M32" s="2">
        <v>5.8</v>
      </c>
      <c r="N32" s="2">
        <v>0</v>
      </c>
      <c r="O32" s="3">
        <v>0.753</v>
      </c>
      <c r="P32" s="3">
        <v>0.71099999999999997</v>
      </c>
      <c r="Q32" s="3">
        <v>0.73599999999999999</v>
      </c>
      <c r="R32" s="2" t="s">
        <v>74</v>
      </c>
    </row>
    <row r="33" spans="1:18" x14ac:dyDescent="0.25">
      <c r="A33" s="1">
        <v>46054</v>
      </c>
      <c r="B33" s="2" t="s">
        <v>71</v>
      </c>
      <c r="C33" s="2" t="s">
        <v>60</v>
      </c>
      <c r="D33" s="2" t="s">
        <v>61</v>
      </c>
      <c r="E33" s="2" t="s">
        <v>37</v>
      </c>
      <c r="F33" s="2" t="s">
        <v>32</v>
      </c>
      <c r="G33" s="2">
        <v>21</v>
      </c>
      <c r="H33" s="2" t="s">
        <v>23</v>
      </c>
      <c r="I33" s="2">
        <v>19</v>
      </c>
      <c r="J33" s="2">
        <v>16</v>
      </c>
      <c r="K33" s="2">
        <v>3</v>
      </c>
      <c r="L33" s="2">
        <v>9</v>
      </c>
      <c r="M33" s="2">
        <v>9.9</v>
      </c>
      <c r="N33" s="2">
        <v>0.9</v>
      </c>
      <c r="O33" s="3">
        <v>0.86699999999999999</v>
      </c>
      <c r="P33" s="3">
        <v>0.88900000000000001</v>
      </c>
      <c r="Q33" s="3">
        <v>0.876</v>
      </c>
      <c r="R33" s="2" t="s">
        <v>50</v>
      </c>
    </row>
    <row r="34" spans="1:18" x14ac:dyDescent="0.25">
      <c r="A34" s="1">
        <v>46055</v>
      </c>
      <c r="B34" s="2" t="s">
        <v>71</v>
      </c>
      <c r="C34" s="2" t="s">
        <v>62</v>
      </c>
      <c r="D34" s="2" t="s">
        <v>63</v>
      </c>
      <c r="E34" s="2" t="s">
        <v>43</v>
      </c>
      <c r="F34" s="2" t="s">
        <v>38</v>
      </c>
      <c r="G34" s="2">
        <v>20</v>
      </c>
      <c r="H34" s="2" t="s">
        <v>23</v>
      </c>
      <c r="I34" s="2">
        <v>19</v>
      </c>
      <c r="J34" s="2">
        <v>18</v>
      </c>
      <c r="K34" s="2">
        <v>1</v>
      </c>
      <c r="L34" s="2">
        <v>7</v>
      </c>
      <c r="M34" s="2">
        <v>5.7</v>
      </c>
      <c r="N34" s="2">
        <v>0</v>
      </c>
      <c r="O34" s="3">
        <v>0.90700000000000003</v>
      </c>
      <c r="P34" s="3">
        <v>0.82899999999999996</v>
      </c>
      <c r="Q34" s="3">
        <v>0.876</v>
      </c>
      <c r="R34" s="2" t="s">
        <v>50</v>
      </c>
    </row>
    <row r="35" spans="1:18" x14ac:dyDescent="0.25">
      <c r="A35" s="1">
        <v>46056</v>
      </c>
      <c r="B35" s="2" t="s">
        <v>71</v>
      </c>
      <c r="C35" s="2" t="s">
        <v>65</v>
      </c>
      <c r="D35" s="2" t="s">
        <v>66</v>
      </c>
      <c r="E35" s="2" t="s">
        <v>49</v>
      </c>
      <c r="F35" s="2" t="s">
        <v>22</v>
      </c>
      <c r="G35" s="2">
        <v>21</v>
      </c>
      <c r="H35" s="2" t="s">
        <v>23</v>
      </c>
      <c r="I35" s="2">
        <v>14</v>
      </c>
      <c r="J35" s="2">
        <v>12</v>
      </c>
      <c r="K35" s="2">
        <v>2</v>
      </c>
      <c r="L35" s="2">
        <v>8</v>
      </c>
      <c r="M35" s="2">
        <v>8.1999999999999993</v>
      </c>
      <c r="N35" s="2">
        <v>0.2</v>
      </c>
      <c r="O35" s="3">
        <v>0.85099999999999998</v>
      </c>
      <c r="P35" s="3">
        <v>0.92300000000000004</v>
      </c>
      <c r="Q35" s="3">
        <v>0.88</v>
      </c>
      <c r="R35" s="2" t="s">
        <v>50</v>
      </c>
    </row>
    <row r="36" spans="1:18" x14ac:dyDescent="0.25">
      <c r="A36" s="1">
        <v>46057</v>
      </c>
      <c r="B36" s="2" t="s">
        <v>71</v>
      </c>
      <c r="C36" s="2" t="s">
        <v>67</v>
      </c>
      <c r="D36" s="2" t="s">
        <v>68</v>
      </c>
      <c r="E36" s="2" t="s">
        <v>55</v>
      </c>
      <c r="F36" s="2" t="s">
        <v>32</v>
      </c>
      <c r="G36" s="2">
        <v>20</v>
      </c>
      <c r="H36" s="2" t="s">
        <v>23</v>
      </c>
      <c r="I36" s="2">
        <v>20</v>
      </c>
      <c r="J36" s="2">
        <v>23</v>
      </c>
      <c r="K36" s="2">
        <v>0</v>
      </c>
      <c r="L36" s="2">
        <v>9</v>
      </c>
      <c r="M36" s="2">
        <v>6.8</v>
      </c>
      <c r="N36" s="2">
        <v>0</v>
      </c>
      <c r="O36" s="3">
        <v>1</v>
      </c>
      <c r="P36" s="3">
        <v>1</v>
      </c>
      <c r="Q36" s="3">
        <v>1</v>
      </c>
      <c r="R36" s="2" t="s">
        <v>24</v>
      </c>
    </row>
    <row r="37" spans="1:18" x14ac:dyDescent="0.25">
      <c r="A37" s="1">
        <v>46058</v>
      </c>
      <c r="B37" s="2" t="s">
        <v>71</v>
      </c>
      <c r="C37" s="2" t="s">
        <v>69</v>
      </c>
      <c r="D37" s="2" t="s">
        <v>70</v>
      </c>
      <c r="E37" s="2" t="s">
        <v>31</v>
      </c>
      <c r="F37" s="2" t="s">
        <v>38</v>
      </c>
      <c r="G37" s="2">
        <v>20</v>
      </c>
      <c r="H37" s="2" t="s">
        <v>23</v>
      </c>
      <c r="I37" s="2">
        <v>8</v>
      </c>
      <c r="J37" s="2">
        <v>6</v>
      </c>
      <c r="K37" s="2">
        <v>2</v>
      </c>
      <c r="L37" s="2">
        <v>8</v>
      </c>
      <c r="M37" s="2">
        <v>8.1999999999999993</v>
      </c>
      <c r="N37" s="2">
        <v>0.2</v>
      </c>
      <c r="O37" s="3">
        <v>0.67</v>
      </c>
      <c r="P37" s="3">
        <v>0.63600000000000001</v>
      </c>
      <c r="Q37" s="3">
        <v>0.65600000000000003</v>
      </c>
      <c r="R37" s="2" t="s">
        <v>74</v>
      </c>
    </row>
    <row r="38" spans="1:18" x14ac:dyDescent="0.25">
      <c r="A38" s="1">
        <v>46059</v>
      </c>
      <c r="B38" s="2" t="s">
        <v>71</v>
      </c>
      <c r="C38" s="2" t="s">
        <v>19</v>
      </c>
      <c r="D38" s="2" t="s">
        <v>20</v>
      </c>
      <c r="E38" s="2" t="s">
        <v>21</v>
      </c>
      <c r="F38" s="2" t="s">
        <v>22</v>
      </c>
      <c r="G38" s="2">
        <v>21</v>
      </c>
      <c r="H38" s="2" t="s">
        <v>23</v>
      </c>
      <c r="I38" s="2">
        <v>14</v>
      </c>
      <c r="J38" s="2">
        <v>16</v>
      </c>
      <c r="K38" s="2">
        <v>0</v>
      </c>
      <c r="L38" s="2">
        <v>9</v>
      </c>
      <c r="M38" s="2">
        <v>9.8000000000000007</v>
      </c>
      <c r="N38" s="2">
        <v>0.8</v>
      </c>
      <c r="O38" s="3">
        <v>1</v>
      </c>
      <c r="P38" s="3">
        <v>1</v>
      </c>
      <c r="Q38" s="3">
        <v>1</v>
      </c>
      <c r="R38" s="2" t="s">
        <v>24</v>
      </c>
    </row>
    <row r="39" spans="1:18" x14ac:dyDescent="0.25">
      <c r="A39" s="1">
        <v>46060</v>
      </c>
      <c r="B39" s="2" t="s">
        <v>71</v>
      </c>
      <c r="C39" s="2" t="s">
        <v>25</v>
      </c>
      <c r="D39" s="2" t="s">
        <v>26</v>
      </c>
      <c r="E39" s="2" t="s">
        <v>21</v>
      </c>
      <c r="F39" s="2" t="s">
        <v>27</v>
      </c>
      <c r="G39" s="2">
        <v>22</v>
      </c>
      <c r="H39" s="2" t="s">
        <v>23</v>
      </c>
      <c r="I39" s="2">
        <v>10</v>
      </c>
      <c r="J39" s="2">
        <v>8</v>
      </c>
      <c r="K39" s="2">
        <v>2</v>
      </c>
      <c r="L39" s="2">
        <v>8</v>
      </c>
      <c r="M39" s="2">
        <v>8.1999999999999993</v>
      </c>
      <c r="N39" s="2">
        <v>0.2</v>
      </c>
      <c r="O39" s="3">
        <v>0.755</v>
      </c>
      <c r="P39" s="3">
        <v>0.64800000000000002</v>
      </c>
      <c r="Q39" s="3">
        <v>0.71199999999999997</v>
      </c>
      <c r="R39" s="2" t="s">
        <v>74</v>
      </c>
    </row>
    <row r="40" spans="1:18" x14ac:dyDescent="0.25">
      <c r="A40" s="1">
        <v>46061</v>
      </c>
      <c r="B40" s="2" t="s">
        <v>71</v>
      </c>
      <c r="C40" s="2" t="s">
        <v>29</v>
      </c>
      <c r="D40" s="2" t="s">
        <v>30</v>
      </c>
      <c r="E40" s="2" t="s">
        <v>31</v>
      </c>
      <c r="F40" s="2" t="s">
        <v>32</v>
      </c>
      <c r="G40" s="2">
        <v>22</v>
      </c>
      <c r="H40" s="2" t="s">
        <v>46</v>
      </c>
      <c r="I40" s="2">
        <v>8</v>
      </c>
      <c r="J40" s="2">
        <v>10</v>
      </c>
      <c r="K40" s="2">
        <v>0</v>
      </c>
      <c r="L40" s="2">
        <v>8</v>
      </c>
      <c r="M40" s="2">
        <v>7.9</v>
      </c>
      <c r="N40" s="2">
        <v>0</v>
      </c>
      <c r="O40" s="3">
        <v>1</v>
      </c>
      <c r="P40" s="3">
        <v>1</v>
      </c>
      <c r="Q40" s="3">
        <v>1</v>
      </c>
      <c r="R40" s="2" t="s">
        <v>24</v>
      </c>
    </row>
    <row r="41" spans="1:18" x14ac:dyDescent="0.25">
      <c r="A41" s="1">
        <v>46062</v>
      </c>
      <c r="B41" s="2" t="s">
        <v>71</v>
      </c>
      <c r="C41" s="2" t="s">
        <v>33</v>
      </c>
      <c r="D41" s="2" t="s">
        <v>34</v>
      </c>
      <c r="E41" s="2" t="s">
        <v>31</v>
      </c>
      <c r="F41" s="2" t="s">
        <v>22</v>
      </c>
      <c r="G41" s="2">
        <v>22</v>
      </c>
      <c r="H41" s="2" t="s">
        <v>46</v>
      </c>
      <c r="I41" s="2">
        <v>10</v>
      </c>
      <c r="J41" s="2">
        <v>7</v>
      </c>
      <c r="K41" s="2">
        <v>3</v>
      </c>
      <c r="L41" s="2">
        <v>9</v>
      </c>
      <c r="M41" s="2">
        <v>8.6999999999999993</v>
      </c>
      <c r="N41" s="2">
        <v>0</v>
      </c>
      <c r="O41" s="3">
        <v>0.63300000000000001</v>
      </c>
      <c r="P41" s="3">
        <v>0.55400000000000005</v>
      </c>
      <c r="Q41" s="3">
        <v>0.60099999999999998</v>
      </c>
      <c r="R41" s="2" t="s">
        <v>74</v>
      </c>
    </row>
    <row r="42" spans="1:18" x14ac:dyDescent="0.25">
      <c r="A42" s="1">
        <v>46063</v>
      </c>
      <c r="B42" s="2" t="s">
        <v>71</v>
      </c>
      <c r="C42" s="2" t="s">
        <v>35</v>
      </c>
      <c r="D42" s="2" t="s">
        <v>36</v>
      </c>
      <c r="E42" s="2" t="s">
        <v>37</v>
      </c>
      <c r="F42" s="2" t="s">
        <v>38</v>
      </c>
      <c r="G42" s="2">
        <v>22</v>
      </c>
      <c r="H42" s="2" t="s">
        <v>23</v>
      </c>
      <c r="I42" s="2">
        <v>18</v>
      </c>
      <c r="J42" s="2">
        <v>21</v>
      </c>
      <c r="K42" s="2">
        <v>0</v>
      </c>
      <c r="L42" s="2">
        <v>7</v>
      </c>
      <c r="M42" s="2">
        <v>5.4</v>
      </c>
      <c r="N42" s="2">
        <v>0</v>
      </c>
      <c r="O42" s="3">
        <v>1</v>
      </c>
      <c r="P42" s="3">
        <v>1</v>
      </c>
      <c r="Q42" s="3">
        <v>1</v>
      </c>
      <c r="R42" s="2" t="s">
        <v>24</v>
      </c>
    </row>
    <row r="43" spans="1:18" x14ac:dyDescent="0.25">
      <c r="A43" s="1">
        <v>46064</v>
      </c>
      <c r="B43" s="2" t="s">
        <v>75</v>
      </c>
      <c r="C43" s="2" t="s">
        <v>39</v>
      </c>
      <c r="D43" s="2" t="s">
        <v>40</v>
      </c>
      <c r="E43" s="2" t="s">
        <v>37</v>
      </c>
      <c r="F43" s="2" t="s">
        <v>27</v>
      </c>
      <c r="G43" s="2">
        <v>22</v>
      </c>
      <c r="H43" s="2" t="s">
        <v>23</v>
      </c>
      <c r="I43" s="2">
        <v>17</v>
      </c>
      <c r="J43" s="2">
        <v>18</v>
      </c>
      <c r="K43" s="2">
        <v>0</v>
      </c>
      <c r="L43" s="2">
        <v>7</v>
      </c>
      <c r="M43" s="2">
        <v>6.2</v>
      </c>
      <c r="N43" s="2">
        <v>0</v>
      </c>
      <c r="O43" s="3">
        <v>1</v>
      </c>
      <c r="P43" s="3">
        <v>0.97199999999999998</v>
      </c>
      <c r="Q43" s="3">
        <v>0.98899999999999999</v>
      </c>
      <c r="R43" s="2" t="s">
        <v>24</v>
      </c>
    </row>
    <row r="44" spans="1:18" x14ac:dyDescent="0.25">
      <c r="A44" s="1">
        <v>46065</v>
      </c>
      <c r="B44" s="2" t="s">
        <v>75</v>
      </c>
      <c r="C44" s="2" t="s">
        <v>44</v>
      </c>
      <c r="D44" s="2" t="s">
        <v>45</v>
      </c>
      <c r="E44" s="2" t="s">
        <v>43</v>
      </c>
      <c r="F44" s="2" t="s">
        <v>22</v>
      </c>
      <c r="G44" s="2">
        <v>20</v>
      </c>
      <c r="H44" s="2" t="s">
        <v>23</v>
      </c>
      <c r="I44" s="2">
        <v>14</v>
      </c>
      <c r="J44" s="2">
        <v>12</v>
      </c>
      <c r="K44" s="2">
        <v>2</v>
      </c>
      <c r="L44" s="2">
        <v>9</v>
      </c>
      <c r="M44" s="2">
        <v>10.199999999999999</v>
      </c>
      <c r="N44" s="2">
        <v>1.2</v>
      </c>
      <c r="O44" s="3">
        <v>0.88</v>
      </c>
      <c r="P44" s="3">
        <v>0.86099999999999999</v>
      </c>
      <c r="Q44" s="3">
        <v>0.872</v>
      </c>
      <c r="R44" s="2" t="s">
        <v>50</v>
      </c>
    </row>
    <row r="45" spans="1:18" x14ac:dyDescent="0.25">
      <c r="A45" s="1">
        <v>46066</v>
      </c>
      <c r="B45" s="2" t="s">
        <v>75</v>
      </c>
      <c r="C45" s="2" t="s">
        <v>47</v>
      </c>
      <c r="D45" s="2" t="s">
        <v>48</v>
      </c>
      <c r="E45" s="2" t="s">
        <v>49</v>
      </c>
      <c r="F45" s="2" t="s">
        <v>38</v>
      </c>
      <c r="G45" s="2">
        <v>20</v>
      </c>
      <c r="H45" s="2" t="s">
        <v>23</v>
      </c>
      <c r="I45" s="2">
        <v>15</v>
      </c>
      <c r="J45" s="2">
        <v>16</v>
      </c>
      <c r="K45" s="2">
        <v>0</v>
      </c>
      <c r="L45" s="2">
        <v>9</v>
      </c>
      <c r="M45" s="2">
        <v>9.4</v>
      </c>
      <c r="N45" s="2">
        <v>0.4</v>
      </c>
      <c r="O45" s="3">
        <v>1</v>
      </c>
      <c r="P45" s="3">
        <v>0.89600000000000002</v>
      </c>
      <c r="Q45" s="3">
        <v>0.95799999999999996</v>
      </c>
      <c r="R45" s="2" t="s">
        <v>24</v>
      </c>
    </row>
    <row r="46" spans="1:18" x14ac:dyDescent="0.25">
      <c r="A46" s="1">
        <v>46067</v>
      </c>
      <c r="B46" s="2" t="s">
        <v>75</v>
      </c>
      <c r="C46" s="2" t="s">
        <v>51</v>
      </c>
      <c r="D46" s="2" t="s">
        <v>52</v>
      </c>
      <c r="E46" s="2" t="s">
        <v>49</v>
      </c>
      <c r="F46" s="2" t="s">
        <v>32</v>
      </c>
      <c r="G46" s="2">
        <v>20</v>
      </c>
      <c r="H46" s="2" t="s">
        <v>46</v>
      </c>
      <c r="I46" s="2">
        <v>12</v>
      </c>
      <c r="J46" s="2">
        <v>10</v>
      </c>
      <c r="K46" s="2">
        <v>2</v>
      </c>
      <c r="L46" s="2">
        <v>8</v>
      </c>
      <c r="M46" s="2">
        <v>6.1</v>
      </c>
      <c r="N46" s="2">
        <v>0</v>
      </c>
      <c r="O46" s="3">
        <v>0.89400000000000002</v>
      </c>
      <c r="P46" s="3">
        <v>0.96699999999999997</v>
      </c>
      <c r="Q46" s="3">
        <v>0.92300000000000004</v>
      </c>
      <c r="R46" s="2" t="s">
        <v>24</v>
      </c>
    </row>
    <row r="47" spans="1:18" x14ac:dyDescent="0.25">
      <c r="A47" s="1">
        <v>46068</v>
      </c>
      <c r="B47" s="2" t="s">
        <v>75</v>
      </c>
      <c r="C47" s="2" t="s">
        <v>72</v>
      </c>
      <c r="D47" s="2" t="s">
        <v>73</v>
      </c>
      <c r="E47" s="2" t="s">
        <v>55</v>
      </c>
      <c r="F47" s="2" t="s">
        <v>27</v>
      </c>
      <c r="G47" s="2">
        <v>21</v>
      </c>
      <c r="H47" s="2" t="s">
        <v>23</v>
      </c>
      <c r="I47" s="2">
        <v>10</v>
      </c>
      <c r="J47" s="2">
        <v>10</v>
      </c>
      <c r="K47" s="2">
        <v>0</v>
      </c>
      <c r="L47" s="2">
        <v>9</v>
      </c>
      <c r="M47" s="2">
        <v>9.4</v>
      </c>
      <c r="N47" s="2">
        <v>0.4</v>
      </c>
      <c r="O47" s="3">
        <v>1</v>
      </c>
      <c r="P47" s="3">
        <v>1</v>
      </c>
      <c r="Q47" s="3">
        <v>1</v>
      </c>
      <c r="R47" s="2" t="s">
        <v>24</v>
      </c>
    </row>
    <row r="48" spans="1:18" x14ac:dyDescent="0.25">
      <c r="A48" s="1">
        <v>46069</v>
      </c>
      <c r="B48" s="2" t="s">
        <v>75</v>
      </c>
      <c r="C48" s="2" t="s">
        <v>53</v>
      </c>
      <c r="D48" s="2" t="s">
        <v>54</v>
      </c>
      <c r="E48" s="2" t="s">
        <v>55</v>
      </c>
      <c r="F48" s="2" t="s">
        <v>22</v>
      </c>
      <c r="G48" s="2">
        <v>22</v>
      </c>
      <c r="H48" s="2" t="s">
        <v>46</v>
      </c>
      <c r="I48" s="2">
        <v>8</v>
      </c>
      <c r="J48" s="2">
        <v>10</v>
      </c>
      <c r="K48" s="2">
        <v>0</v>
      </c>
      <c r="L48" s="2">
        <v>9</v>
      </c>
      <c r="M48" s="2">
        <v>8.6</v>
      </c>
      <c r="N48" s="2">
        <v>0</v>
      </c>
      <c r="O48" s="3">
        <v>1</v>
      </c>
      <c r="P48" s="3">
        <v>1</v>
      </c>
      <c r="Q48" s="3">
        <v>1</v>
      </c>
      <c r="R48" s="2" t="s">
        <v>24</v>
      </c>
    </row>
    <row r="49" spans="1:18" x14ac:dyDescent="0.25">
      <c r="A49" s="1">
        <v>46070</v>
      </c>
      <c r="B49" s="2" t="s">
        <v>75</v>
      </c>
      <c r="C49" s="2" t="s">
        <v>56</v>
      </c>
      <c r="D49" s="2" t="s">
        <v>57</v>
      </c>
      <c r="E49" s="2" t="s">
        <v>21</v>
      </c>
      <c r="F49" s="2" t="s">
        <v>38</v>
      </c>
      <c r="G49" s="2">
        <v>20</v>
      </c>
      <c r="H49" s="2" t="s">
        <v>23</v>
      </c>
      <c r="I49" s="2">
        <v>9</v>
      </c>
      <c r="J49" s="2">
        <v>6</v>
      </c>
      <c r="K49" s="2">
        <v>70</v>
      </c>
      <c r="L49" s="2">
        <v>9</v>
      </c>
      <c r="M49" s="2">
        <v>8.3000000000000007</v>
      </c>
      <c r="N49" s="2">
        <v>0</v>
      </c>
      <c r="O49" s="3">
        <v>0.67500000000000004</v>
      </c>
      <c r="P49" s="3">
        <v>0.61499999999999999</v>
      </c>
      <c r="Q49" s="3">
        <v>0.65100000000000002</v>
      </c>
      <c r="R49" s="2" t="s">
        <v>74</v>
      </c>
    </row>
    <row r="50" spans="1:18" x14ac:dyDescent="0.25">
      <c r="A50" s="1">
        <v>46071</v>
      </c>
      <c r="B50" s="2" t="s">
        <v>75</v>
      </c>
      <c r="C50" s="2" t="s">
        <v>60</v>
      </c>
      <c r="D50" s="2" t="s">
        <v>61</v>
      </c>
      <c r="E50" s="2" t="s">
        <v>37</v>
      </c>
      <c r="F50" s="2" t="s">
        <v>32</v>
      </c>
      <c r="G50" s="2">
        <v>22</v>
      </c>
      <c r="H50" s="2" t="s">
        <v>23</v>
      </c>
      <c r="I50" s="2">
        <v>12</v>
      </c>
      <c r="J50" s="2">
        <v>15</v>
      </c>
      <c r="K50" s="2">
        <v>0</v>
      </c>
      <c r="L50" s="2">
        <v>7</v>
      </c>
      <c r="M50" s="2">
        <v>8.1</v>
      </c>
      <c r="N50" s="2">
        <v>1.1000000000000001</v>
      </c>
      <c r="O50" s="3">
        <v>1</v>
      </c>
      <c r="P50" s="3">
        <v>0.97299999999999998</v>
      </c>
      <c r="Q50" s="3">
        <v>0.98899999999999999</v>
      </c>
      <c r="R50" s="2" t="s">
        <v>24</v>
      </c>
    </row>
    <row r="51" spans="1:18" x14ac:dyDescent="0.25">
      <c r="A51" s="1">
        <v>46072</v>
      </c>
      <c r="B51" s="2" t="s">
        <v>75</v>
      </c>
      <c r="C51" s="2" t="s">
        <v>62</v>
      </c>
      <c r="D51" s="2" t="s">
        <v>63</v>
      </c>
      <c r="E51" s="2" t="s">
        <v>43</v>
      </c>
      <c r="F51" s="2" t="s">
        <v>38</v>
      </c>
      <c r="G51" s="2">
        <v>21</v>
      </c>
      <c r="H51" s="2" t="s">
        <v>23</v>
      </c>
      <c r="I51" s="2">
        <v>8</v>
      </c>
      <c r="J51" s="2">
        <v>7</v>
      </c>
      <c r="K51" s="2">
        <v>1</v>
      </c>
      <c r="L51" s="2">
        <v>7</v>
      </c>
      <c r="M51" s="2">
        <v>8</v>
      </c>
      <c r="N51" s="2">
        <v>1</v>
      </c>
      <c r="O51" s="3">
        <v>0.89700000000000002</v>
      </c>
      <c r="P51" s="3">
        <v>0.83499999999999996</v>
      </c>
      <c r="Q51" s="3">
        <v>0.872</v>
      </c>
      <c r="R51" s="2" t="s">
        <v>50</v>
      </c>
    </row>
    <row r="52" spans="1:18" x14ac:dyDescent="0.25">
      <c r="A52" s="1">
        <v>46073</v>
      </c>
      <c r="B52" s="2" t="s">
        <v>75</v>
      </c>
      <c r="C52" s="2" t="s">
        <v>65</v>
      </c>
      <c r="D52" s="2" t="s">
        <v>66</v>
      </c>
      <c r="E52" s="2" t="s">
        <v>49</v>
      </c>
      <c r="F52" s="2" t="s">
        <v>22</v>
      </c>
      <c r="G52" s="2">
        <v>22</v>
      </c>
      <c r="H52" s="2" t="s">
        <v>23</v>
      </c>
      <c r="I52" s="2">
        <v>16</v>
      </c>
      <c r="J52" s="2">
        <v>18</v>
      </c>
      <c r="K52" s="2">
        <v>0</v>
      </c>
      <c r="L52" s="2">
        <v>8</v>
      </c>
      <c r="M52" s="2">
        <v>7.1</v>
      </c>
      <c r="N52" s="2">
        <v>0</v>
      </c>
      <c r="O52" s="3">
        <v>1</v>
      </c>
      <c r="P52" s="3">
        <v>0.90500000000000003</v>
      </c>
      <c r="Q52" s="3">
        <v>0.96199999999999997</v>
      </c>
      <c r="R52" s="2" t="s">
        <v>24</v>
      </c>
    </row>
    <row r="53" spans="1:18" x14ac:dyDescent="0.25">
      <c r="A53" s="1">
        <v>46074</v>
      </c>
      <c r="B53" s="2" t="s">
        <v>75</v>
      </c>
      <c r="C53" s="2" t="s">
        <v>67</v>
      </c>
      <c r="D53" s="2" t="s">
        <v>68</v>
      </c>
      <c r="E53" s="2" t="s">
        <v>55</v>
      </c>
      <c r="F53" s="2" t="s">
        <v>32</v>
      </c>
      <c r="G53" s="2">
        <v>22</v>
      </c>
      <c r="H53" s="2" t="s">
        <v>23</v>
      </c>
      <c r="I53" s="2">
        <v>16</v>
      </c>
      <c r="J53" s="2">
        <v>13</v>
      </c>
      <c r="K53" s="2">
        <v>3</v>
      </c>
      <c r="L53" s="2">
        <v>8</v>
      </c>
      <c r="M53" s="2">
        <v>7.7</v>
      </c>
      <c r="N53" s="2">
        <v>0</v>
      </c>
      <c r="O53" s="3">
        <v>0.82599999999999996</v>
      </c>
      <c r="P53" s="3">
        <v>0.73899999999999999</v>
      </c>
      <c r="Q53" s="3">
        <v>0.79100000000000004</v>
      </c>
      <c r="R53" s="2" t="s">
        <v>50</v>
      </c>
    </row>
    <row r="54" spans="1:18" x14ac:dyDescent="0.25">
      <c r="A54" s="1">
        <v>46075</v>
      </c>
      <c r="B54" s="2" t="s">
        <v>75</v>
      </c>
      <c r="C54" s="2" t="s">
        <v>76</v>
      </c>
      <c r="D54" s="2" t="s">
        <v>77</v>
      </c>
      <c r="E54" s="2" t="s">
        <v>21</v>
      </c>
      <c r="F54" s="2" t="s">
        <v>27</v>
      </c>
      <c r="G54" s="2">
        <v>20</v>
      </c>
      <c r="H54" s="2" t="s">
        <v>23</v>
      </c>
      <c r="I54" s="2">
        <v>12</v>
      </c>
      <c r="J54" s="2">
        <v>11</v>
      </c>
      <c r="K54" s="2">
        <v>1</v>
      </c>
      <c r="L54" s="2">
        <v>7</v>
      </c>
      <c r="M54" s="2">
        <v>7.4</v>
      </c>
      <c r="N54" s="2">
        <v>0.4</v>
      </c>
      <c r="O54" s="3">
        <v>0.98</v>
      </c>
      <c r="P54" s="3">
        <v>0.90600000000000003</v>
      </c>
      <c r="Q54" s="3">
        <v>0.95</v>
      </c>
      <c r="R54" s="2" t="s">
        <v>24</v>
      </c>
    </row>
    <row r="55" spans="1:18" x14ac:dyDescent="0.25">
      <c r="A55" s="1">
        <v>46076</v>
      </c>
      <c r="B55" s="2" t="s">
        <v>75</v>
      </c>
      <c r="C55" s="2" t="s">
        <v>69</v>
      </c>
      <c r="D55" s="2" t="s">
        <v>70</v>
      </c>
      <c r="E55" s="2" t="s">
        <v>31</v>
      </c>
      <c r="F55" s="2" t="s">
        <v>38</v>
      </c>
      <c r="G55" s="2">
        <v>20</v>
      </c>
      <c r="H55" s="2" t="s">
        <v>28</v>
      </c>
      <c r="I55" s="2">
        <v>9</v>
      </c>
      <c r="J55" s="2">
        <v>8</v>
      </c>
      <c r="K55" s="2">
        <v>1</v>
      </c>
      <c r="L55" s="2">
        <v>9</v>
      </c>
      <c r="M55" s="2">
        <v>10.1</v>
      </c>
      <c r="N55" s="2">
        <v>1.1000000000000001</v>
      </c>
      <c r="O55" s="3">
        <v>0.95</v>
      </c>
      <c r="P55" s="3">
        <v>0.91900000000000004</v>
      </c>
      <c r="Q55" s="3">
        <v>0.93799999999999994</v>
      </c>
      <c r="R55" s="2" t="s">
        <v>24</v>
      </c>
    </row>
    <row r="56" spans="1:18" x14ac:dyDescent="0.25">
      <c r="A56" s="1">
        <v>46077</v>
      </c>
      <c r="B56" s="2" t="s">
        <v>78</v>
      </c>
      <c r="C56" s="2" t="s">
        <v>19</v>
      </c>
      <c r="D56" s="2" t="s">
        <v>20</v>
      </c>
      <c r="E56" s="2" t="s">
        <v>21</v>
      </c>
      <c r="F56" s="2" t="s">
        <v>22</v>
      </c>
      <c r="G56" s="2">
        <v>22</v>
      </c>
      <c r="H56" s="2" t="s">
        <v>28</v>
      </c>
      <c r="I56" s="2">
        <v>10</v>
      </c>
      <c r="J56" s="2">
        <v>8</v>
      </c>
      <c r="K56" s="2">
        <v>2</v>
      </c>
      <c r="L56" s="2">
        <v>7</v>
      </c>
      <c r="M56" s="2">
        <v>6.5</v>
      </c>
      <c r="N56" s="2">
        <v>0</v>
      </c>
      <c r="O56" s="3">
        <v>0.876</v>
      </c>
      <c r="P56" s="3">
        <v>0.93400000000000005</v>
      </c>
      <c r="Q56" s="3">
        <v>0.89900000000000002</v>
      </c>
      <c r="R56" s="2" t="s">
        <v>50</v>
      </c>
    </row>
    <row r="57" spans="1:18" x14ac:dyDescent="0.25">
      <c r="A57" s="1">
        <v>46078</v>
      </c>
      <c r="B57" s="2" t="s">
        <v>78</v>
      </c>
      <c r="C57" s="2" t="s">
        <v>25</v>
      </c>
      <c r="D57" s="2" t="s">
        <v>26</v>
      </c>
      <c r="E57" s="2" t="s">
        <v>21</v>
      </c>
      <c r="F57" s="2" t="s">
        <v>27</v>
      </c>
      <c r="G57" s="2">
        <v>21</v>
      </c>
      <c r="H57" s="2" t="s">
        <v>23</v>
      </c>
      <c r="I57" s="2">
        <v>10</v>
      </c>
      <c r="J57" s="2">
        <v>12</v>
      </c>
      <c r="K57" s="2">
        <v>0</v>
      </c>
      <c r="L57" s="2">
        <v>8</v>
      </c>
      <c r="M57" s="2">
        <v>7.8</v>
      </c>
      <c r="N57" s="2">
        <v>0</v>
      </c>
      <c r="O57" s="3">
        <v>1</v>
      </c>
      <c r="P57" s="3">
        <v>0.97099999999999997</v>
      </c>
      <c r="Q57" s="3">
        <v>0.98799999999999999</v>
      </c>
      <c r="R57" s="2" t="s">
        <v>24</v>
      </c>
    </row>
    <row r="58" spans="1:18" x14ac:dyDescent="0.25">
      <c r="A58" s="1">
        <v>46079</v>
      </c>
      <c r="B58" s="2" t="s">
        <v>78</v>
      </c>
      <c r="C58" s="2" t="s">
        <v>33</v>
      </c>
      <c r="D58" s="2" t="s">
        <v>34</v>
      </c>
      <c r="E58" s="2" t="s">
        <v>31</v>
      </c>
      <c r="F58" s="2" t="s">
        <v>22</v>
      </c>
      <c r="G58" s="2">
        <v>21</v>
      </c>
      <c r="H58" s="2" t="s">
        <v>23</v>
      </c>
      <c r="I58" s="2">
        <v>15</v>
      </c>
      <c r="J58" s="2">
        <v>13</v>
      </c>
      <c r="K58" s="2">
        <v>2</v>
      </c>
      <c r="L58" s="2">
        <v>7</v>
      </c>
      <c r="M58" s="2">
        <v>5.7</v>
      </c>
      <c r="N58" s="2">
        <v>0</v>
      </c>
      <c r="O58" s="3">
        <v>0.91700000000000004</v>
      </c>
      <c r="P58" s="3">
        <v>0.89800000000000002</v>
      </c>
      <c r="Q58" s="3">
        <v>0.90900000000000003</v>
      </c>
      <c r="R58" s="2" t="s">
        <v>24</v>
      </c>
    </row>
    <row r="59" spans="1:18" x14ac:dyDescent="0.25">
      <c r="A59" s="1">
        <v>46080</v>
      </c>
      <c r="B59" s="2" t="s">
        <v>78</v>
      </c>
      <c r="C59" s="2" t="s">
        <v>35</v>
      </c>
      <c r="D59" s="2" t="s">
        <v>36</v>
      </c>
      <c r="E59" s="2" t="s">
        <v>37</v>
      </c>
      <c r="F59" s="2" t="s">
        <v>38</v>
      </c>
      <c r="G59" s="2">
        <v>21</v>
      </c>
      <c r="H59" s="2" t="s">
        <v>23</v>
      </c>
      <c r="I59" s="2">
        <v>11</v>
      </c>
      <c r="J59" s="2">
        <v>8</v>
      </c>
      <c r="K59" s="2">
        <v>3</v>
      </c>
      <c r="L59" s="2">
        <v>9</v>
      </c>
      <c r="M59" s="2">
        <v>9.9</v>
      </c>
      <c r="N59" s="2">
        <v>0.9</v>
      </c>
      <c r="O59" s="3">
        <v>0.67800000000000005</v>
      </c>
      <c r="P59" s="3">
        <v>0.63</v>
      </c>
      <c r="Q59" s="3">
        <v>0.65900000000000003</v>
      </c>
      <c r="R59" s="2" t="s">
        <v>74</v>
      </c>
    </row>
    <row r="60" spans="1:18" x14ac:dyDescent="0.25">
      <c r="A60" s="1">
        <v>46081</v>
      </c>
      <c r="B60" s="2" t="s">
        <v>78</v>
      </c>
      <c r="C60" s="2" t="s">
        <v>39</v>
      </c>
      <c r="D60" s="2" t="s">
        <v>40</v>
      </c>
      <c r="E60" s="2" t="s">
        <v>37</v>
      </c>
      <c r="F60" s="2" t="s">
        <v>27</v>
      </c>
      <c r="G60" s="2">
        <v>20</v>
      </c>
      <c r="H60" s="2" t="s">
        <v>23</v>
      </c>
      <c r="I60" s="2">
        <v>13</v>
      </c>
      <c r="J60" s="2">
        <v>15</v>
      </c>
      <c r="K60" s="2">
        <v>0</v>
      </c>
      <c r="L60" s="2">
        <v>9</v>
      </c>
      <c r="M60" s="2">
        <v>10.5</v>
      </c>
      <c r="N60" s="2">
        <v>1.5</v>
      </c>
      <c r="O60" s="3">
        <v>1</v>
      </c>
      <c r="P60" s="3">
        <v>1</v>
      </c>
      <c r="Q60" s="3">
        <v>1</v>
      </c>
      <c r="R60" s="2" t="s">
        <v>24</v>
      </c>
    </row>
    <row r="61" spans="1:18" x14ac:dyDescent="0.25">
      <c r="A61" s="1">
        <v>46082</v>
      </c>
      <c r="B61" s="2" t="s">
        <v>78</v>
      </c>
      <c r="C61" s="2" t="s">
        <v>41</v>
      </c>
      <c r="D61" s="2" t="s">
        <v>42</v>
      </c>
      <c r="E61" s="2" t="s">
        <v>43</v>
      </c>
      <c r="F61" s="2" t="s">
        <v>32</v>
      </c>
      <c r="G61" s="2">
        <v>22</v>
      </c>
      <c r="H61" s="2" t="s">
        <v>23</v>
      </c>
      <c r="I61" s="2">
        <v>8</v>
      </c>
      <c r="J61" s="2">
        <v>5</v>
      </c>
      <c r="K61" s="2">
        <v>50</v>
      </c>
      <c r="L61" s="2">
        <v>8</v>
      </c>
      <c r="M61" s="2">
        <v>7.9</v>
      </c>
      <c r="N61" s="2">
        <v>0</v>
      </c>
      <c r="O61" s="3">
        <v>0.57399999999999995</v>
      </c>
      <c r="P61" s="3">
        <v>0.66600000000000004</v>
      </c>
      <c r="Q61" s="3">
        <v>0.61099999999999999</v>
      </c>
      <c r="R61" s="2" t="s">
        <v>74</v>
      </c>
    </row>
    <row r="62" spans="1:18" x14ac:dyDescent="0.25">
      <c r="A62" s="1">
        <v>46083</v>
      </c>
      <c r="B62" s="2" t="s">
        <v>78</v>
      </c>
      <c r="C62" s="2" t="s">
        <v>44</v>
      </c>
      <c r="D62" s="2" t="s">
        <v>45</v>
      </c>
      <c r="E62" s="2" t="s">
        <v>43</v>
      </c>
      <c r="F62" s="2" t="s">
        <v>22</v>
      </c>
      <c r="G62" s="2">
        <v>21</v>
      </c>
      <c r="H62" s="2" t="s">
        <v>23</v>
      </c>
      <c r="I62" s="2">
        <v>9</v>
      </c>
      <c r="J62" s="2">
        <v>10</v>
      </c>
      <c r="K62" s="2">
        <v>0</v>
      </c>
      <c r="L62" s="2">
        <v>8</v>
      </c>
      <c r="M62" s="2">
        <v>9.1</v>
      </c>
      <c r="N62" s="2">
        <v>1.1000000000000001</v>
      </c>
      <c r="O62" s="3">
        <v>1</v>
      </c>
      <c r="P62" s="3">
        <v>1</v>
      </c>
      <c r="Q62" s="3">
        <v>1</v>
      </c>
      <c r="R62" s="2" t="s">
        <v>24</v>
      </c>
    </row>
    <row r="63" spans="1:18" x14ac:dyDescent="0.25">
      <c r="A63" s="1">
        <v>46084</v>
      </c>
      <c r="B63" s="2" t="s">
        <v>78</v>
      </c>
      <c r="C63" s="2" t="s">
        <v>47</v>
      </c>
      <c r="D63" s="2" t="s">
        <v>48</v>
      </c>
      <c r="E63" s="2" t="s">
        <v>49</v>
      </c>
      <c r="F63" s="2" t="s">
        <v>38</v>
      </c>
      <c r="G63" s="2">
        <v>21</v>
      </c>
      <c r="H63" s="2" t="s">
        <v>46</v>
      </c>
      <c r="I63" s="2">
        <v>16</v>
      </c>
      <c r="J63" s="2">
        <v>13</v>
      </c>
      <c r="K63" s="2">
        <v>3</v>
      </c>
      <c r="L63" s="2">
        <v>8</v>
      </c>
      <c r="M63" s="2">
        <v>8.4</v>
      </c>
      <c r="N63" s="2">
        <v>0.4</v>
      </c>
      <c r="O63" s="3">
        <v>0.876</v>
      </c>
      <c r="P63" s="3">
        <v>0.79800000000000004</v>
      </c>
      <c r="Q63" s="3">
        <v>0.84499999999999997</v>
      </c>
      <c r="R63" s="2" t="s">
        <v>50</v>
      </c>
    </row>
    <row r="64" spans="1:18" x14ac:dyDescent="0.25">
      <c r="A64" s="1">
        <v>46085</v>
      </c>
      <c r="B64" s="2" t="s">
        <v>78</v>
      </c>
      <c r="C64" s="2" t="s">
        <v>72</v>
      </c>
      <c r="D64" s="2" t="s">
        <v>73</v>
      </c>
      <c r="E64" s="2" t="s">
        <v>55</v>
      </c>
      <c r="F64" s="2" t="s">
        <v>27</v>
      </c>
      <c r="G64" s="2">
        <v>22</v>
      </c>
      <c r="H64" s="2" t="s">
        <v>28</v>
      </c>
      <c r="I64" s="2">
        <v>19</v>
      </c>
      <c r="J64" s="2">
        <v>21</v>
      </c>
      <c r="K64" s="2">
        <v>0</v>
      </c>
      <c r="L64" s="2">
        <v>7</v>
      </c>
      <c r="M64" s="2">
        <v>7.4</v>
      </c>
      <c r="N64" s="2">
        <v>0.4</v>
      </c>
      <c r="O64" s="3">
        <v>1</v>
      </c>
      <c r="P64" s="3">
        <v>0.89500000000000002</v>
      </c>
      <c r="Q64" s="3">
        <v>0.95799999999999996</v>
      </c>
      <c r="R64" s="2" t="s">
        <v>24</v>
      </c>
    </row>
    <row r="65" spans="1:18" x14ac:dyDescent="0.25">
      <c r="A65" s="1">
        <v>46086</v>
      </c>
      <c r="B65" s="2" t="s">
        <v>78</v>
      </c>
      <c r="C65" s="2" t="s">
        <v>53</v>
      </c>
      <c r="D65" s="2" t="s">
        <v>54</v>
      </c>
      <c r="E65" s="2" t="s">
        <v>55</v>
      </c>
      <c r="F65" s="2" t="s">
        <v>22</v>
      </c>
      <c r="G65" s="2">
        <v>22</v>
      </c>
      <c r="H65" s="2" t="s">
        <v>23</v>
      </c>
      <c r="I65" s="2">
        <v>17</v>
      </c>
      <c r="J65" s="2">
        <v>16</v>
      </c>
      <c r="K65" s="2">
        <v>1</v>
      </c>
      <c r="L65" s="2">
        <v>9</v>
      </c>
      <c r="M65" s="2">
        <v>10.7</v>
      </c>
      <c r="N65" s="2">
        <v>1.7</v>
      </c>
      <c r="O65" s="3">
        <v>0.997</v>
      </c>
      <c r="P65" s="3">
        <v>1</v>
      </c>
      <c r="Q65" s="3">
        <v>0.998</v>
      </c>
      <c r="R65" s="2" t="s">
        <v>24</v>
      </c>
    </row>
    <row r="66" spans="1:18" x14ac:dyDescent="0.25">
      <c r="A66" s="1">
        <v>46087</v>
      </c>
      <c r="B66" s="2" t="s">
        <v>78</v>
      </c>
      <c r="C66" s="2" t="s">
        <v>56</v>
      </c>
      <c r="D66" s="2" t="s">
        <v>57</v>
      </c>
      <c r="E66" s="2" t="s">
        <v>21</v>
      </c>
      <c r="F66" s="2" t="s">
        <v>38</v>
      </c>
      <c r="G66" s="2">
        <v>21</v>
      </c>
      <c r="H66" s="2" t="s">
        <v>46</v>
      </c>
      <c r="I66" s="2">
        <v>12</v>
      </c>
      <c r="J66" s="2">
        <v>14</v>
      </c>
      <c r="K66" s="2">
        <v>0</v>
      </c>
      <c r="L66" s="2">
        <v>8</v>
      </c>
      <c r="M66" s="2">
        <v>8</v>
      </c>
      <c r="N66" s="2">
        <v>0</v>
      </c>
      <c r="O66" s="3">
        <v>1</v>
      </c>
      <c r="P66" s="3">
        <v>1</v>
      </c>
      <c r="Q66" s="3">
        <v>1</v>
      </c>
      <c r="R66" s="2" t="s">
        <v>24</v>
      </c>
    </row>
    <row r="67" spans="1:18" x14ac:dyDescent="0.25">
      <c r="A67" s="1">
        <v>46088</v>
      </c>
      <c r="B67" s="2" t="s">
        <v>78</v>
      </c>
      <c r="C67" s="2" t="s">
        <v>58</v>
      </c>
      <c r="D67" s="2" t="s">
        <v>59</v>
      </c>
      <c r="E67" s="2" t="s">
        <v>31</v>
      </c>
      <c r="F67" s="2" t="s">
        <v>27</v>
      </c>
      <c r="G67" s="2">
        <v>22</v>
      </c>
      <c r="H67" s="2" t="s">
        <v>23</v>
      </c>
      <c r="I67" s="2">
        <v>11</v>
      </c>
      <c r="J67" s="2">
        <v>11</v>
      </c>
      <c r="K67" s="2">
        <v>0</v>
      </c>
      <c r="L67" s="2">
        <v>9</v>
      </c>
      <c r="M67" s="2">
        <v>10.7</v>
      </c>
      <c r="N67" s="2">
        <v>1.7</v>
      </c>
      <c r="O67" s="3">
        <v>1</v>
      </c>
      <c r="P67" s="3">
        <v>1</v>
      </c>
      <c r="Q67" s="3">
        <v>1</v>
      </c>
      <c r="R67" s="2" t="s">
        <v>24</v>
      </c>
    </row>
    <row r="68" spans="1:18" x14ac:dyDescent="0.25">
      <c r="A68" s="1">
        <v>46089</v>
      </c>
      <c r="B68" s="2" t="s">
        <v>78</v>
      </c>
      <c r="C68" s="2" t="s">
        <v>60</v>
      </c>
      <c r="D68" s="2" t="s">
        <v>61</v>
      </c>
      <c r="E68" s="2" t="s">
        <v>37</v>
      </c>
      <c r="F68" s="2" t="s">
        <v>32</v>
      </c>
      <c r="G68" s="2">
        <v>20</v>
      </c>
      <c r="H68" s="2" t="s">
        <v>46</v>
      </c>
      <c r="I68" s="2">
        <v>17</v>
      </c>
      <c r="J68" s="2">
        <v>16</v>
      </c>
      <c r="K68" s="2">
        <v>1</v>
      </c>
      <c r="L68" s="2">
        <v>8</v>
      </c>
      <c r="M68" s="2">
        <v>5.0999999999999996</v>
      </c>
      <c r="N68" s="2">
        <v>0</v>
      </c>
      <c r="O68" s="3">
        <v>0.94899999999999995</v>
      </c>
      <c r="P68" s="3">
        <v>0.82899999999999996</v>
      </c>
      <c r="Q68" s="3">
        <v>0.90100000000000002</v>
      </c>
      <c r="R68" s="2" t="s">
        <v>24</v>
      </c>
    </row>
    <row r="69" spans="1:18" x14ac:dyDescent="0.25">
      <c r="A69" s="1">
        <v>46090</v>
      </c>
      <c r="B69" s="2" t="s">
        <v>78</v>
      </c>
      <c r="C69" s="2" t="s">
        <v>62</v>
      </c>
      <c r="D69" s="2" t="s">
        <v>63</v>
      </c>
      <c r="E69" s="2" t="s">
        <v>43</v>
      </c>
      <c r="F69" s="2" t="s">
        <v>38</v>
      </c>
      <c r="G69" s="2">
        <v>21</v>
      </c>
      <c r="H69" s="2" t="s">
        <v>23</v>
      </c>
      <c r="I69" s="2">
        <v>14</v>
      </c>
      <c r="J69" s="2">
        <v>17</v>
      </c>
      <c r="K69" s="2">
        <v>0</v>
      </c>
      <c r="L69" s="2">
        <v>9</v>
      </c>
      <c r="M69" s="2">
        <v>9.9</v>
      </c>
      <c r="N69" s="2">
        <v>0.9</v>
      </c>
      <c r="O69" s="3">
        <v>1</v>
      </c>
      <c r="P69" s="3">
        <v>0.95099999999999996</v>
      </c>
      <c r="Q69" s="3">
        <v>0.98</v>
      </c>
      <c r="R69" s="2" t="s">
        <v>24</v>
      </c>
    </row>
    <row r="70" spans="1:18" x14ac:dyDescent="0.25">
      <c r="A70" s="1">
        <v>46091</v>
      </c>
      <c r="B70" s="2" t="s">
        <v>79</v>
      </c>
      <c r="C70" s="2" t="s">
        <v>65</v>
      </c>
      <c r="D70" s="2" t="s">
        <v>66</v>
      </c>
      <c r="E70" s="2" t="s">
        <v>49</v>
      </c>
      <c r="F70" s="2" t="s">
        <v>22</v>
      </c>
      <c r="G70" s="2">
        <v>21</v>
      </c>
      <c r="H70" s="2" t="s">
        <v>23</v>
      </c>
      <c r="I70" s="2">
        <v>18</v>
      </c>
      <c r="J70" s="2">
        <v>16</v>
      </c>
      <c r="K70" s="2">
        <v>2</v>
      </c>
      <c r="L70" s="2">
        <v>9</v>
      </c>
      <c r="M70" s="2">
        <v>9.1</v>
      </c>
      <c r="N70" s="2">
        <v>0.1</v>
      </c>
      <c r="O70" s="3">
        <v>0.88500000000000001</v>
      </c>
      <c r="P70" s="3">
        <v>0.96299999999999997</v>
      </c>
      <c r="Q70" s="3">
        <v>0.91600000000000004</v>
      </c>
      <c r="R70" s="2" t="s">
        <v>24</v>
      </c>
    </row>
    <row r="71" spans="1:18" x14ac:dyDescent="0.25">
      <c r="A71" s="1">
        <v>46092</v>
      </c>
      <c r="B71" s="2" t="s">
        <v>79</v>
      </c>
      <c r="C71" s="2" t="s">
        <v>76</v>
      </c>
      <c r="D71" s="2" t="s">
        <v>77</v>
      </c>
      <c r="E71" s="2" t="s">
        <v>21</v>
      </c>
      <c r="F71" s="2" t="s">
        <v>27</v>
      </c>
      <c r="G71" s="2">
        <v>21</v>
      </c>
      <c r="H71" s="2" t="s">
        <v>23</v>
      </c>
      <c r="I71" s="2">
        <v>20</v>
      </c>
      <c r="J71" s="2">
        <v>18</v>
      </c>
      <c r="K71" s="2">
        <v>2</v>
      </c>
      <c r="L71" s="2">
        <v>9</v>
      </c>
      <c r="M71" s="2">
        <v>9.1</v>
      </c>
      <c r="N71" s="2">
        <v>0.1</v>
      </c>
      <c r="O71" s="3">
        <v>0.87</v>
      </c>
      <c r="P71" s="3">
        <v>0.92700000000000005</v>
      </c>
      <c r="Q71" s="3">
        <v>0.89300000000000002</v>
      </c>
      <c r="R71" s="2" t="s">
        <v>50</v>
      </c>
    </row>
    <row r="72" spans="1:18" x14ac:dyDescent="0.25">
      <c r="A72" s="1">
        <v>46093</v>
      </c>
      <c r="B72" s="2" t="s">
        <v>79</v>
      </c>
      <c r="C72" s="2" t="s">
        <v>69</v>
      </c>
      <c r="D72" s="2" t="s">
        <v>70</v>
      </c>
      <c r="E72" s="2" t="s">
        <v>31</v>
      </c>
      <c r="F72" s="2" t="s">
        <v>38</v>
      </c>
      <c r="G72" s="2">
        <v>20</v>
      </c>
      <c r="H72" s="2" t="s">
        <v>23</v>
      </c>
      <c r="I72" s="2">
        <v>8</v>
      </c>
      <c r="J72" s="2">
        <v>6</v>
      </c>
      <c r="K72" s="2">
        <v>2</v>
      </c>
      <c r="L72" s="2">
        <v>8</v>
      </c>
      <c r="M72" s="2">
        <v>5.8</v>
      </c>
      <c r="N72" s="2">
        <v>0</v>
      </c>
      <c r="O72" s="3">
        <v>0.76800000000000002</v>
      </c>
      <c r="P72" s="3">
        <v>0.81699999999999995</v>
      </c>
      <c r="Q72" s="3">
        <v>0.78800000000000003</v>
      </c>
      <c r="R72" s="2" t="s">
        <v>50</v>
      </c>
    </row>
    <row r="73" spans="1:18" x14ac:dyDescent="0.25">
      <c r="A73" s="1">
        <v>46094</v>
      </c>
      <c r="B73" s="2" t="s">
        <v>79</v>
      </c>
      <c r="C73" s="2" t="s">
        <v>19</v>
      </c>
      <c r="D73" s="2" t="s">
        <v>20</v>
      </c>
      <c r="E73" s="2" t="s">
        <v>21</v>
      </c>
      <c r="F73" s="2" t="s">
        <v>22</v>
      </c>
      <c r="G73" s="2">
        <v>21</v>
      </c>
      <c r="H73" s="2" t="s">
        <v>23</v>
      </c>
      <c r="I73" s="2">
        <v>18</v>
      </c>
      <c r="J73" s="2">
        <v>19</v>
      </c>
      <c r="K73" s="2">
        <v>50</v>
      </c>
      <c r="L73" s="2">
        <v>7</v>
      </c>
      <c r="M73" s="2">
        <v>6.8</v>
      </c>
      <c r="N73" s="2">
        <v>0</v>
      </c>
      <c r="O73" s="3">
        <v>1</v>
      </c>
      <c r="P73" s="3">
        <v>0.96399999999999997</v>
      </c>
      <c r="Q73" s="3">
        <v>0.98599999999999999</v>
      </c>
      <c r="R73" s="2" t="s">
        <v>24</v>
      </c>
    </row>
    <row r="74" spans="1:18" x14ac:dyDescent="0.25">
      <c r="A74" s="1">
        <v>46095</v>
      </c>
      <c r="B74" s="2" t="s">
        <v>79</v>
      </c>
      <c r="C74" s="2" t="s">
        <v>25</v>
      </c>
      <c r="D74" s="2" t="s">
        <v>26</v>
      </c>
      <c r="E74" s="2" t="s">
        <v>21</v>
      </c>
      <c r="F74" s="2" t="s">
        <v>27</v>
      </c>
      <c r="G74" s="2">
        <v>21</v>
      </c>
      <c r="H74" s="2" t="s">
        <v>23</v>
      </c>
      <c r="I74" s="2">
        <v>10</v>
      </c>
      <c r="J74" s="2">
        <v>12</v>
      </c>
      <c r="K74" s="2">
        <v>0</v>
      </c>
      <c r="L74" s="2">
        <v>9</v>
      </c>
      <c r="M74" s="2">
        <v>9.4</v>
      </c>
      <c r="N74" s="2">
        <v>0.4</v>
      </c>
      <c r="O74" s="3">
        <v>1</v>
      </c>
      <c r="P74" s="3">
        <v>1</v>
      </c>
      <c r="Q74" s="3">
        <v>1</v>
      </c>
      <c r="R74" s="2" t="s">
        <v>24</v>
      </c>
    </row>
    <row r="75" spans="1:18" x14ac:dyDescent="0.25">
      <c r="A75" s="1">
        <v>46096</v>
      </c>
      <c r="B75" s="2" t="s">
        <v>79</v>
      </c>
      <c r="C75" s="2" t="s">
        <v>29</v>
      </c>
      <c r="D75" s="2" t="s">
        <v>30</v>
      </c>
      <c r="E75" s="2" t="s">
        <v>31</v>
      </c>
      <c r="F75" s="2" t="s">
        <v>32</v>
      </c>
      <c r="G75" s="2">
        <v>20</v>
      </c>
      <c r="H75" s="2" t="s">
        <v>23</v>
      </c>
      <c r="I75" s="2">
        <v>11</v>
      </c>
      <c r="J75" s="2">
        <v>9</v>
      </c>
      <c r="K75" s="2">
        <v>2</v>
      </c>
      <c r="L75" s="2">
        <v>9</v>
      </c>
      <c r="M75" s="2">
        <v>10.6</v>
      </c>
      <c r="N75" s="2">
        <v>1.6</v>
      </c>
      <c r="O75" s="3">
        <v>0.82099999999999995</v>
      </c>
      <c r="P75" s="3">
        <v>0.71199999999999997</v>
      </c>
      <c r="Q75" s="3">
        <v>0.77700000000000002</v>
      </c>
      <c r="R75" s="2" t="s">
        <v>50</v>
      </c>
    </row>
    <row r="76" spans="1:18" x14ac:dyDescent="0.25">
      <c r="A76" s="1">
        <v>46097</v>
      </c>
      <c r="B76" s="2" t="s">
        <v>79</v>
      </c>
      <c r="C76" s="2" t="s">
        <v>33</v>
      </c>
      <c r="D76" s="2" t="s">
        <v>34</v>
      </c>
      <c r="E76" s="2" t="s">
        <v>31</v>
      </c>
      <c r="F76" s="2" t="s">
        <v>22</v>
      </c>
      <c r="G76" s="2">
        <v>20</v>
      </c>
      <c r="H76" s="2" t="s">
        <v>23</v>
      </c>
      <c r="I76" s="2">
        <v>15</v>
      </c>
      <c r="J76" s="2">
        <v>13</v>
      </c>
      <c r="K76" s="2">
        <v>2</v>
      </c>
      <c r="L76" s="2">
        <v>8</v>
      </c>
      <c r="M76" s="2">
        <v>7.4</v>
      </c>
      <c r="N76" s="2">
        <v>0</v>
      </c>
      <c r="O76" s="3">
        <v>0.89300000000000002</v>
      </c>
      <c r="P76" s="3">
        <v>0.99</v>
      </c>
      <c r="Q76" s="3">
        <v>0.93200000000000005</v>
      </c>
      <c r="R76" s="2" t="s">
        <v>24</v>
      </c>
    </row>
    <row r="77" spans="1:18" x14ac:dyDescent="0.25">
      <c r="A77" s="1">
        <v>46098</v>
      </c>
      <c r="B77" s="2" t="s">
        <v>79</v>
      </c>
      <c r="C77" s="2" t="s">
        <v>39</v>
      </c>
      <c r="D77" s="2" t="s">
        <v>40</v>
      </c>
      <c r="E77" s="2" t="s">
        <v>37</v>
      </c>
      <c r="F77" s="2" t="s">
        <v>27</v>
      </c>
      <c r="G77" s="2">
        <v>21</v>
      </c>
      <c r="H77" s="2" t="s">
        <v>46</v>
      </c>
      <c r="I77" s="2">
        <v>15</v>
      </c>
      <c r="J77" s="2">
        <v>13</v>
      </c>
      <c r="K77" s="2">
        <v>2</v>
      </c>
      <c r="L77" s="2">
        <v>9</v>
      </c>
      <c r="M77" s="2">
        <v>8.4</v>
      </c>
      <c r="N77" s="2">
        <v>0</v>
      </c>
      <c r="O77" s="3">
        <v>0.92500000000000004</v>
      </c>
      <c r="P77" s="3">
        <v>0.90400000000000003</v>
      </c>
      <c r="Q77" s="3">
        <v>0.91700000000000004</v>
      </c>
      <c r="R77" s="2" t="s">
        <v>24</v>
      </c>
    </row>
    <row r="78" spans="1:18" x14ac:dyDescent="0.25">
      <c r="A78" s="1">
        <v>46099</v>
      </c>
      <c r="B78" s="2" t="s">
        <v>79</v>
      </c>
      <c r="C78" s="2" t="s">
        <v>41</v>
      </c>
      <c r="D78" s="2" t="s">
        <v>42</v>
      </c>
      <c r="E78" s="2" t="s">
        <v>43</v>
      </c>
      <c r="F78" s="2" t="s">
        <v>32</v>
      </c>
      <c r="G78" s="2">
        <v>20</v>
      </c>
      <c r="H78" s="2" t="s">
        <v>28</v>
      </c>
      <c r="I78" s="2">
        <v>12</v>
      </c>
      <c r="J78" s="2">
        <v>15</v>
      </c>
      <c r="K78" s="2">
        <v>0</v>
      </c>
      <c r="L78" s="2">
        <v>9</v>
      </c>
      <c r="M78" s="2">
        <v>10</v>
      </c>
      <c r="N78" s="2">
        <v>1</v>
      </c>
      <c r="O78" s="3">
        <v>1</v>
      </c>
      <c r="P78" s="3">
        <v>0.93300000000000005</v>
      </c>
      <c r="Q78" s="3">
        <v>0.97299999999999998</v>
      </c>
      <c r="R78" s="2" t="s">
        <v>24</v>
      </c>
    </row>
    <row r="79" spans="1:18" x14ac:dyDescent="0.25">
      <c r="A79" s="1">
        <v>46100</v>
      </c>
      <c r="B79" s="2" t="s">
        <v>79</v>
      </c>
      <c r="C79" s="2" t="s">
        <v>44</v>
      </c>
      <c r="D79" s="2" t="s">
        <v>45</v>
      </c>
      <c r="E79" s="2" t="s">
        <v>43</v>
      </c>
      <c r="F79" s="2" t="s">
        <v>22</v>
      </c>
      <c r="G79" s="2">
        <v>21</v>
      </c>
      <c r="H79" s="2" t="s">
        <v>23</v>
      </c>
      <c r="I79" s="2">
        <v>19</v>
      </c>
      <c r="J79" s="2">
        <v>18</v>
      </c>
      <c r="K79" s="2">
        <v>1</v>
      </c>
      <c r="L79" s="2">
        <v>7</v>
      </c>
      <c r="M79" s="2">
        <v>7.4</v>
      </c>
      <c r="N79" s="2">
        <v>0.4</v>
      </c>
      <c r="O79" s="3">
        <v>0.91100000000000003</v>
      </c>
      <c r="P79" s="3">
        <v>0.86099999999999999</v>
      </c>
      <c r="Q79" s="3">
        <v>0.89100000000000001</v>
      </c>
      <c r="R79" s="2" t="s">
        <v>50</v>
      </c>
    </row>
    <row r="80" spans="1:18" x14ac:dyDescent="0.25">
      <c r="A80" s="1">
        <v>46101</v>
      </c>
      <c r="B80" s="2" t="s">
        <v>79</v>
      </c>
      <c r="C80" s="2" t="s">
        <v>47</v>
      </c>
      <c r="D80" s="2" t="s">
        <v>48</v>
      </c>
      <c r="E80" s="2" t="s">
        <v>49</v>
      </c>
      <c r="F80" s="2" t="s">
        <v>38</v>
      </c>
      <c r="G80" s="2">
        <v>22</v>
      </c>
      <c r="H80" s="2" t="s">
        <v>23</v>
      </c>
      <c r="I80" s="2">
        <v>10</v>
      </c>
      <c r="J80" s="2">
        <v>8</v>
      </c>
      <c r="K80" s="2">
        <v>2</v>
      </c>
      <c r="L80" s="2">
        <v>7</v>
      </c>
      <c r="M80" s="2">
        <v>6.4</v>
      </c>
      <c r="N80" s="2">
        <v>0</v>
      </c>
      <c r="O80" s="3">
        <v>0.78100000000000003</v>
      </c>
      <c r="P80" s="3">
        <v>0.69499999999999995</v>
      </c>
      <c r="Q80" s="3">
        <v>0.747</v>
      </c>
      <c r="R80" s="2" t="s">
        <v>74</v>
      </c>
    </row>
    <row r="81" spans="1:18" x14ac:dyDescent="0.25">
      <c r="A81" s="1">
        <v>46102</v>
      </c>
      <c r="B81" s="2" t="s">
        <v>79</v>
      </c>
      <c r="C81" s="2" t="s">
        <v>51</v>
      </c>
      <c r="D81" s="2" t="s">
        <v>52</v>
      </c>
      <c r="E81" s="2" t="s">
        <v>49</v>
      </c>
      <c r="F81" s="2" t="s">
        <v>32</v>
      </c>
      <c r="G81" s="2">
        <v>20</v>
      </c>
      <c r="H81" s="2" t="s">
        <v>23</v>
      </c>
      <c r="I81" s="2">
        <v>14</v>
      </c>
      <c r="J81" s="2">
        <v>14</v>
      </c>
      <c r="K81" s="2">
        <v>0</v>
      </c>
      <c r="L81" s="2">
        <v>8</v>
      </c>
      <c r="M81" s="2">
        <v>8.6</v>
      </c>
      <c r="N81" s="2">
        <v>0.6</v>
      </c>
      <c r="O81" s="3">
        <v>1</v>
      </c>
      <c r="P81" s="3">
        <v>0.97099999999999997</v>
      </c>
      <c r="Q81" s="3">
        <v>0.98799999999999999</v>
      </c>
      <c r="R81" s="2" t="s">
        <v>24</v>
      </c>
    </row>
    <row r="82" spans="1:18" x14ac:dyDescent="0.25">
      <c r="A82" s="1">
        <v>46103</v>
      </c>
      <c r="B82" s="2" t="s">
        <v>79</v>
      </c>
      <c r="C82" s="2" t="s">
        <v>72</v>
      </c>
      <c r="D82" s="2" t="s">
        <v>73</v>
      </c>
      <c r="E82" s="2" t="s">
        <v>55</v>
      </c>
      <c r="F82" s="2" t="s">
        <v>27</v>
      </c>
      <c r="G82" s="2">
        <v>20</v>
      </c>
      <c r="H82" s="2" t="s">
        <v>23</v>
      </c>
      <c r="I82" s="2">
        <v>14</v>
      </c>
      <c r="J82" s="2">
        <v>17</v>
      </c>
      <c r="K82" s="2">
        <v>0</v>
      </c>
      <c r="L82" s="2">
        <v>9</v>
      </c>
      <c r="M82" s="2">
        <v>9.1</v>
      </c>
      <c r="N82" s="2">
        <v>0.1</v>
      </c>
      <c r="O82" s="3">
        <v>1</v>
      </c>
      <c r="P82" s="3">
        <v>0.88400000000000001</v>
      </c>
      <c r="Q82" s="3">
        <v>0.95399999999999996</v>
      </c>
      <c r="R82" s="2" t="s">
        <v>24</v>
      </c>
    </row>
    <row r="83" spans="1:18" x14ac:dyDescent="0.25">
      <c r="A83" s="1">
        <v>46104</v>
      </c>
      <c r="B83" s="2" t="s">
        <v>80</v>
      </c>
      <c r="C83" s="2" t="s">
        <v>53</v>
      </c>
      <c r="D83" s="2" t="s">
        <v>54</v>
      </c>
      <c r="E83" s="2" t="s">
        <v>55</v>
      </c>
      <c r="F83" s="2" t="s">
        <v>22</v>
      </c>
      <c r="G83" s="2">
        <v>22</v>
      </c>
      <c r="H83" s="2" t="s">
        <v>23</v>
      </c>
      <c r="I83" s="2">
        <v>15</v>
      </c>
      <c r="J83" s="2">
        <v>12</v>
      </c>
      <c r="K83" s="2">
        <v>3</v>
      </c>
      <c r="L83" s="2">
        <v>8</v>
      </c>
      <c r="M83" s="2">
        <v>9.1</v>
      </c>
      <c r="N83" s="2">
        <v>1.1000000000000001</v>
      </c>
      <c r="O83" s="3">
        <v>0.76800000000000002</v>
      </c>
      <c r="P83" s="3">
        <v>0.73399999999999999</v>
      </c>
      <c r="Q83" s="3">
        <v>0.754</v>
      </c>
      <c r="R83" s="2" t="s">
        <v>50</v>
      </c>
    </row>
    <row r="84" spans="1:18" x14ac:dyDescent="0.25">
      <c r="A84" s="1">
        <v>46105</v>
      </c>
      <c r="B84" s="2" t="s">
        <v>80</v>
      </c>
      <c r="C84" s="2" t="s">
        <v>58</v>
      </c>
      <c r="D84" s="2" t="s">
        <v>59</v>
      </c>
      <c r="E84" s="2" t="s">
        <v>31</v>
      </c>
      <c r="F84" s="2" t="s">
        <v>27</v>
      </c>
      <c r="G84" s="2">
        <v>21</v>
      </c>
      <c r="H84" s="2" t="s">
        <v>23</v>
      </c>
      <c r="I84" s="2">
        <v>12</v>
      </c>
      <c r="J84" s="2">
        <v>12</v>
      </c>
      <c r="K84" s="2">
        <v>0</v>
      </c>
      <c r="L84" s="2">
        <v>8</v>
      </c>
      <c r="M84" s="2">
        <v>7.6</v>
      </c>
      <c r="N84" s="2">
        <v>0</v>
      </c>
      <c r="O84" s="3">
        <v>0.92500000000000004</v>
      </c>
      <c r="P84" s="3">
        <v>0.879</v>
      </c>
      <c r="Q84" s="3">
        <v>0.90700000000000003</v>
      </c>
      <c r="R84" s="2" t="s">
        <v>24</v>
      </c>
    </row>
    <row r="85" spans="1:18" x14ac:dyDescent="0.25">
      <c r="A85" s="1">
        <v>46106</v>
      </c>
      <c r="B85" s="2" t="s">
        <v>80</v>
      </c>
      <c r="C85" s="2" t="s">
        <v>60</v>
      </c>
      <c r="D85" s="2" t="s">
        <v>61</v>
      </c>
      <c r="E85" s="2" t="s">
        <v>37</v>
      </c>
      <c r="F85" s="2" t="s">
        <v>32</v>
      </c>
      <c r="G85" s="2">
        <v>22</v>
      </c>
      <c r="H85" s="2" t="s">
        <v>23</v>
      </c>
      <c r="I85" s="2">
        <v>19</v>
      </c>
      <c r="J85" s="2">
        <v>17</v>
      </c>
      <c r="K85" s="2">
        <v>2</v>
      </c>
      <c r="L85" s="2">
        <v>8</v>
      </c>
      <c r="M85" s="2">
        <v>7.6</v>
      </c>
      <c r="N85" s="2">
        <v>0</v>
      </c>
      <c r="O85" s="3">
        <v>0.96199999999999997</v>
      </c>
      <c r="P85" s="3">
        <v>1</v>
      </c>
      <c r="Q85" s="3">
        <v>0.97699999999999998</v>
      </c>
      <c r="R85" s="2" t="s">
        <v>24</v>
      </c>
    </row>
    <row r="86" spans="1:18" x14ac:dyDescent="0.25">
      <c r="A86" s="1">
        <v>46107</v>
      </c>
      <c r="B86" s="2" t="s">
        <v>80</v>
      </c>
      <c r="C86" s="2" t="s">
        <v>62</v>
      </c>
      <c r="D86" s="2" t="s">
        <v>63</v>
      </c>
      <c r="E86" s="2" t="s">
        <v>43</v>
      </c>
      <c r="F86" s="2" t="s">
        <v>38</v>
      </c>
      <c r="G86" s="2">
        <v>22</v>
      </c>
      <c r="H86" s="2" t="s">
        <v>23</v>
      </c>
      <c r="I86" s="2">
        <v>14</v>
      </c>
      <c r="J86" s="2">
        <v>15</v>
      </c>
      <c r="K86" s="2">
        <v>30</v>
      </c>
      <c r="L86" s="2">
        <v>9</v>
      </c>
      <c r="M86" s="2">
        <v>7.4</v>
      </c>
      <c r="N86" s="2">
        <v>0</v>
      </c>
      <c r="O86" s="3">
        <v>1</v>
      </c>
      <c r="P86" s="3">
        <v>0.89800000000000002</v>
      </c>
      <c r="Q86" s="3">
        <v>0.95899999999999996</v>
      </c>
      <c r="R86" s="2" t="s">
        <v>24</v>
      </c>
    </row>
    <row r="87" spans="1:18" x14ac:dyDescent="0.25">
      <c r="A87" s="1">
        <v>46108</v>
      </c>
      <c r="B87" s="2" t="s">
        <v>80</v>
      </c>
      <c r="C87" s="2" t="s">
        <v>65</v>
      </c>
      <c r="D87" s="2" t="s">
        <v>66</v>
      </c>
      <c r="E87" s="2" t="s">
        <v>49</v>
      </c>
      <c r="F87" s="2" t="s">
        <v>22</v>
      </c>
      <c r="G87" s="2">
        <v>21</v>
      </c>
      <c r="H87" s="2" t="s">
        <v>23</v>
      </c>
      <c r="I87" s="2">
        <v>15</v>
      </c>
      <c r="J87" s="2">
        <v>13</v>
      </c>
      <c r="K87" s="2">
        <v>2</v>
      </c>
      <c r="L87" s="2">
        <v>7</v>
      </c>
      <c r="M87" s="2">
        <v>7.3</v>
      </c>
      <c r="N87" s="2">
        <v>0.3</v>
      </c>
      <c r="O87" s="3">
        <v>0.82799999999999996</v>
      </c>
      <c r="P87" s="3">
        <v>0.78</v>
      </c>
      <c r="Q87" s="3">
        <v>0.80900000000000005</v>
      </c>
      <c r="R87" s="2" t="s">
        <v>50</v>
      </c>
    </row>
    <row r="88" spans="1:18" x14ac:dyDescent="0.25">
      <c r="A88" s="1">
        <v>46109</v>
      </c>
      <c r="B88" s="2" t="s">
        <v>80</v>
      </c>
      <c r="C88" s="2" t="s">
        <v>67</v>
      </c>
      <c r="D88" s="2" t="s">
        <v>68</v>
      </c>
      <c r="E88" s="2" t="s">
        <v>55</v>
      </c>
      <c r="F88" s="2" t="s">
        <v>32</v>
      </c>
      <c r="G88" s="2">
        <v>21</v>
      </c>
      <c r="H88" s="2" t="s">
        <v>23</v>
      </c>
      <c r="I88" s="2">
        <v>13</v>
      </c>
      <c r="J88" s="2">
        <v>16</v>
      </c>
      <c r="K88" s="2">
        <v>0</v>
      </c>
      <c r="L88" s="2">
        <v>8</v>
      </c>
      <c r="M88" s="2">
        <v>8.3000000000000007</v>
      </c>
      <c r="N88" s="2">
        <v>0.3</v>
      </c>
      <c r="O88" s="3">
        <v>1</v>
      </c>
      <c r="P88" s="3">
        <v>1</v>
      </c>
      <c r="Q88" s="3">
        <v>1</v>
      </c>
      <c r="R88" s="2" t="s">
        <v>24</v>
      </c>
    </row>
    <row r="89" spans="1:18" x14ac:dyDescent="0.25">
      <c r="A89" s="1">
        <v>46110</v>
      </c>
      <c r="B89" s="2" t="s">
        <v>80</v>
      </c>
      <c r="C89" s="2" t="s">
        <v>76</v>
      </c>
      <c r="D89" s="2" t="s">
        <v>77</v>
      </c>
      <c r="E89" s="2" t="s">
        <v>21</v>
      </c>
      <c r="F89" s="2" t="s">
        <v>27</v>
      </c>
      <c r="G89" s="2">
        <v>21</v>
      </c>
      <c r="H89" s="2" t="s">
        <v>23</v>
      </c>
      <c r="I89" s="2">
        <v>9</v>
      </c>
      <c r="J89" s="2">
        <v>9</v>
      </c>
      <c r="K89" s="2">
        <v>0</v>
      </c>
      <c r="L89" s="2">
        <v>7</v>
      </c>
      <c r="M89" s="2">
        <v>7</v>
      </c>
      <c r="N89" s="2">
        <v>0</v>
      </c>
      <c r="O89" s="3">
        <v>1</v>
      </c>
      <c r="P89" s="3">
        <v>0.89100000000000001</v>
      </c>
      <c r="Q89" s="3">
        <v>0.95599999999999996</v>
      </c>
      <c r="R89" s="2" t="s">
        <v>24</v>
      </c>
    </row>
    <row r="90" spans="1:18" x14ac:dyDescent="0.25">
      <c r="A90" s="1">
        <v>46111</v>
      </c>
      <c r="B90" s="4" t="s">
        <v>80</v>
      </c>
      <c r="C90" s="4" t="s">
        <v>69</v>
      </c>
      <c r="D90" s="4" t="s">
        <v>70</v>
      </c>
      <c r="E90" s="4" t="s">
        <v>31</v>
      </c>
      <c r="F90" s="4" t="s">
        <v>38</v>
      </c>
      <c r="G90" s="4">
        <v>21</v>
      </c>
      <c r="H90" s="4" t="s">
        <v>23</v>
      </c>
      <c r="I90" s="4">
        <v>18</v>
      </c>
      <c r="J90" s="4">
        <v>15</v>
      </c>
      <c r="K90" s="4">
        <v>3</v>
      </c>
      <c r="L90" s="4">
        <v>9</v>
      </c>
      <c r="M90" s="4">
        <v>8.6999999999999993</v>
      </c>
      <c r="N90" s="4">
        <v>0</v>
      </c>
      <c r="O90" s="5">
        <v>0.76</v>
      </c>
      <c r="P90" s="5">
        <v>0.64700000000000002</v>
      </c>
      <c r="Q90" s="5">
        <v>0.71499999999999997</v>
      </c>
      <c r="R90" s="4" t="s">
        <v>74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Pivot Table</vt:lpstr>
      <vt:lpstr>Dashboard</vt:lpstr>
      <vt:lpstr>Employee Performance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Vaishnavi Survase</cp:lastModifiedBy>
  <dcterms:created xsi:type="dcterms:W3CDTF">2026-09-09T09:25:33Z</dcterms:created>
  <dcterms:modified xsi:type="dcterms:W3CDTF">2026-10-29T07:00:38Z</dcterms:modified>
</cp:coreProperties>
</file>